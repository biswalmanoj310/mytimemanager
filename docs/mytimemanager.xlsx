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biswal/projects/mytimemanager/docs/"/>
    </mc:Choice>
  </mc:AlternateContent>
  <xr:revisionPtr revIDLastSave="0" documentId="13_ncr:1_{0F69202D-9B39-8F42-9451-EC161FA862DA}" xr6:coauthVersionLast="47" xr6:coauthVersionMax="47" xr10:uidLastSave="{00000000-0000-0000-0000-000000000000}"/>
  <bookViews>
    <workbookView xWindow="6060" yWindow="760" windowWidth="25240" windowHeight="18840" activeTab="4" xr2:uid="{1CB184EE-60AD-9B47-8E7E-3682C5F1060B}"/>
  </bookViews>
  <sheets>
    <sheet name="RD" sheetId="11" r:id="rId1"/>
    <sheet name="Goal" sheetId="10" state="hidden" r:id="rId2"/>
    <sheet name="Priority" sheetId="12" r:id="rId3"/>
    <sheet name="Blank" sheetId="1" r:id="rId4"/>
    <sheet name="Sheet1" sheetId="1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3" l="1"/>
  <c r="H20" i="13"/>
  <c r="H18" i="13"/>
  <c r="G18" i="13"/>
  <c r="G20" i="13" s="1"/>
  <c r="G23" i="13" s="1"/>
  <c r="F18" i="13"/>
  <c r="F20" i="13" s="1"/>
  <c r="F23" i="13" s="1"/>
  <c r="I18" i="13"/>
  <c r="P25" i="1"/>
  <c r="O25" i="1"/>
  <c r="N25" i="1"/>
  <c r="P2" i="1"/>
  <c r="O2" i="1"/>
  <c r="A34" i="1"/>
  <c r="B37" i="1"/>
  <c r="C5" i="12"/>
  <c r="B5" i="12"/>
  <c r="E2" i="11"/>
  <c r="B2" i="11"/>
  <c r="C2" i="11"/>
</calcChain>
</file>

<file path=xl/sharedStrings.xml><?xml version="1.0" encoding="utf-8"?>
<sst xmlns="http://schemas.openxmlformats.org/spreadsheetml/2006/main" count="309" uniqueCount="123">
  <si>
    <t>Sl No</t>
  </si>
  <si>
    <t>Requirements</t>
  </si>
  <si>
    <t>Version</t>
  </si>
  <si>
    <t>Status</t>
  </si>
  <si>
    <t>Done</t>
  </si>
  <si>
    <t xml:space="preserve">Ask to add few goals for you including milestone, tasks, projects. </t>
  </si>
  <si>
    <t>Detailed Prompt</t>
  </si>
  <si>
    <t>Tab Name</t>
  </si>
  <si>
    <t>Sub-Requirement</t>
  </si>
  <si>
    <t>Misc Task</t>
  </si>
  <si>
    <t>Creating a new Task is giving error</t>
  </si>
  <si>
    <t>{"type":"datetime_parsing","loc":["body","due_date"],"msg":"Input should be a valid datetime, invalid datetime separator, expected `T`, `t`, `_` or space","input":"2025-11-12","ctx":{"error":"invalid datetime separator, expected `T`, `t`, `_` or space"},"url":"https://errors.pydantic.dev/2.5/v/datetime_parsing"}</t>
  </si>
  <si>
    <t>Important Task</t>
  </si>
  <si>
    <t>V: 03</t>
  </si>
  <si>
    <t>The misk task is not allowing any task addition.</t>
  </si>
  <si>
    <t>Type</t>
  </si>
  <si>
    <t>Design</t>
  </si>
  <si>
    <t>Look</t>
  </si>
  <si>
    <t>Challenges</t>
  </si>
  <si>
    <t>Not allowing Log entry: Failed to log entry</t>
  </si>
  <si>
    <t>V: 04</t>
  </si>
  <si>
    <t>V: 05</t>
  </si>
  <si>
    <t>V: 06</t>
  </si>
  <si>
    <t>V: 07</t>
  </si>
  <si>
    <t>Today</t>
  </si>
  <si>
    <t>Trying to Create a Task on Today's Tab, I added that this is part of a goal. I am getting error while saving: Error: Goal with id 7 not found</t>
  </si>
  <si>
    <t>The Task Creation form should have: Part of a Project.</t>
  </si>
  <si>
    <t>Project</t>
  </si>
  <si>
    <t>Thought</t>
  </si>
  <si>
    <t>Should All the cards have same colour according to project status</t>
  </si>
  <si>
    <t>e.g. In Progress: One color Behind Schedule: One Colour, Completed: One Colour</t>
  </si>
  <si>
    <t>Goal</t>
  </si>
  <si>
    <t>Should All the cards have same colour according to Goal status</t>
  </si>
  <si>
    <t>Add Task</t>
  </si>
  <si>
    <t>Add Project Task</t>
  </si>
  <si>
    <t>Default time should be 30 minutes.</t>
  </si>
  <si>
    <t>All add task/goal/project should have a default time to spend</t>
  </si>
  <si>
    <t>Is Important Task and One Time Tasks are same</t>
  </si>
  <si>
    <t>In Imortant Tasks, what is Value column, What is Notes.</t>
  </si>
  <si>
    <t>Mark Complete button is not working.</t>
  </si>
  <si>
    <t>It should show the date when last time checked.</t>
  </si>
  <si>
    <t>Misc Tasks are nothing but kind of Project - multi Task.</t>
  </si>
  <si>
    <t xml:space="preserve">It should show the master Task (in that same line, it should show how many sub-task, ETA. And below this, when I click an arrow it should expand all sub-task. If any of sub-task exceeds time, then it should red that sub-task and also the main tasks (red back-ground). And give a 2 days-period before ETS and change the back ground to gray. </t>
  </si>
  <si>
    <t>Below the Challenge section, Add upcoming Tasks (for next 7 days and This month)</t>
  </si>
  <si>
    <t>At the top somewhere, mentioned all the approximate time planned today. Like Total Hour Planned: Then like this: From Today's Task, From Week Task, From Month Task (take only week or Month which one is lesser), Project/Goal Tasks.</t>
  </si>
  <si>
    <t>Today Tasks can have sub-tasks too.</t>
  </si>
  <si>
    <t>Click a Today tasks to edit. Cancel edting. Now click Add task at top left. Today's task that you opened for edit form is opening.</t>
  </si>
  <si>
    <t>When I am trying to edit an Project, A new project creation form is coming (with no preload data) and when I am adding names, it is creating a new project.</t>
  </si>
  <si>
    <t>If the project created from anywhere (Goal etc, it should allow to edit)</t>
  </si>
  <si>
    <t>Add Project Task form missing Pillar and Categories and Parent task options.</t>
  </si>
  <si>
    <t>Idea is to see how many tasks I have with pillar -&gt; category so it will give info.</t>
  </si>
  <si>
    <t>Habits</t>
  </si>
  <si>
    <t xml:space="preserve">When I am doing a habit developments, if one day I am not entering any data, it is showing blank. </t>
  </si>
  <si>
    <t>it should consider the entry for that day as 0 (for time and number). For Yes/No, it shoud enter opposite of what I have planned</t>
  </si>
  <si>
    <t>Daily Tab</t>
  </si>
  <si>
    <t>Getting error while entering a Yes/No task.</t>
  </si>
  <si>
    <t>Error: {"type":"datetime_parsing","loc":["body","due_date"],"msg":"Input should be a valid datetime, invalid datetime separator, expected `T`, `t`, `_` or space","input":"2025-12-31","ctx":{"error":"invalid datetime separator, expected `T`, `t`, `_` or space"},"url":"https://errors.pydantic.dev/2.5/v/datetime_parsing"}. 
But the error is gone when I have removed the end date</t>
  </si>
  <si>
    <t>Yes/No tasks should give two options: Yes or No (completed is not a right word)</t>
  </si>
  <si>
    <t>In the Challenge form, the line "is it part of a daily/monthly task should come just after the task name).</t>
  </si>
  <si>
    <t>If data is not entered for a day, consider this as 0 or No.</t>
  </si>
  <si>
    <t>All Tab</t>
  </si>
  <si>
    <t>Task names are placed in the cell at top left. It should be middle and left placed.</t>
  </si>
  <si>
    <t>Completed</t>
  </si>
  <si>
    <t>The completed task can show more comaq.</t>
  </si>
  <si>
    <t>There should be an option in the completed tab to uncomplete the task.</t>
  </si>
  <si>
    <t>Priority</t>
  </si>
  <si>
    <t>When I have hovering my mouse on one Task, entire column is getting highlighted. But when I am going to allocated column, only that line getting highlighted (and this is right way)</t>
  </si>
  <si>
    <t>On Today tab, can I have a section on top with below information: Total Tasks, Time Approx, Total Habit, Challenge, Time Approx.</t>
  </si>
  <si>
    <t>Add Priority Options in the Project. High priority should be on the top. High priority project tasks should be on top in the Today page.</t>
  </si>
  <si>
    <t>Add Priority Options in the Goal. High priority Goal should be on the top. High priority Goal tasks should be on top in the Today page.</t>
  </si>
  <si>
    <t>Monthly</t>
  </si>
  <si>
    <t>I have added a task called "Read 300 Pages". This is not referencing to any daily task. This should show in the monthly tab. There are chances when I want to do something once in a month (and no repeat). These should show in the Monthly tab too. This is not showing.</t>
  </si>
  <si>
    <t>Bug</t>
  </si>
  <si>
    <t>Weekly</t>
  </si>
  <si>
    <t>Like the task hirarchy in Daily tab, this hirarchy should be same in Weekly tab, Monthly tab, Today Tab.</t>
  </si>
  <si>
    <t>When I am making a multi task in Goal, it is creating a project. It just should create a multi task there.</t>
  </si>
  <si>
    <t>Must have for the initial Web Release.</t>
  </si>
  <si>
    <t>Should have for the initial Web Release</t>
  </si>
  <si>
    <t>Priority/Version</t>
  </si>
  <si>
    <t>Ideas.</t>
  </si>
  <si>
    <t>Descriptions</t>
  </si>
  <si>
    <t>Habits: Stretch. 
The presentation should be like this: 
       Current Stretch:
           Best Stretch: 
     2nd Best Stretch:</t>
  </si>
  <si>
    <t>If a habit is monitored from Daily Task, manual entry should not be given for that in habit tab (this is a same feature like monthly and weekly tab)</t>
  </si>
  <si>
    <t>If a Challenge is monitored from Daily Task, manual entry should not be given for that in Challenge tab (this is a same feature like monthly and weekly tab)</t>
  </si>
  <si>
    <t>If a start date and end date mentioned in a challenge, then after the end date, the challenge should go to the completed challenge sections.</t>
  </si>
  <si>
    <t>If a start date and end date mentioned in a Habits, then after the end date, the Habits should go to the completed Habits sections.</t>
  </si>
  <si>
    <t>Today -&gt; Tasks: Today tasks are quick task (for one day). Can you give a plus sign in this section. This plus sign will open a new row (like in excel sheet: Incert row). And I can incert text in the rows. Internally, it will create a task with this info. If I want to edit this task, it should give all edit option of a normal tasks.</t>
  </si>
  <si>
    <t>In the project Task or Goal Task overdue section: can we add subsection like Project: Project name. Then all Project Tasks.</t>
  </si>
  <si>
    <t xml:space="preserve">Let us change the way habit dashboard is showing. It should be mix of what already showing and Today's tab. </t>
  </si>
  <si>
    <t>What at the tick mark in few habits.</t>
  </si>
  <si>
    <t>Today: Habit Sections: how it will be keeping date in the below box and number did in the box. Idea: Hanging there is important. We may not do things everyday perfect. It will show that things (how much I did on a difficult day)</t>
  </si>
  <si>
    <t>Daily: can I have a column for how much time I spend already</t>
  </si>
  <si>
    <t>Weekly Tab: In the weekly tab, when I am giving an option to monitor daily task, can I give a time per day to monitor (this way, I can give different time for a daily tasks to monitor this week. )</t>
  </si>
  <si>
    <t>Today: When there are Tasks in Today's tab, it should give an option to prioritize. 1 being best an 5 being least best. All other activies should move to upcoming tasks sections. In the way the page wont be overwhelmed with many tasks.</t>
  </si>
  <si>
    <t>The completed task numbers are not correct when clicking Today (on top panel: the top panel should be fixed)</t>
  </si>
  <si>
    <t>There should be an section "3 Things I am doing now". Bit bigger section.</t>
  </si>
  <si>
    <t>What should I do Now.</t>
  </si>
  <si>
    <r>
      <t>Office: CD, CC Tasks</t>
    </r>
    <r>
      <rPr>
        <sz val="12"/>
        <color rgb="FF718096"/>
        <rFont val="Helvetica Neue"/>
        <family val="2"/>
      </rPr>
      <t>(180 min)</t>
    </r>
  </si>
  <si>
    <r>
      <t>Cloud</t>
    </r>
    <r>
      <rPr>
        <sz val="12"/>
        <color rgb="FF718096"/>
        <rFont val="Helvetica Neue"/>
        <family val="2"/>
      </rPr>
      <t>(140 min)</t>
    </r>
  </si>
  <si>
    <r>
      <t>LLM GenAI</t>
    </r>
    <r>
      <rPr>
        <sz val="12"/>
        <color rgb="FF718096"/>
        <rFont val="Helvetica Neue"/>
        <family val="2"/>
      </rPr>
      <t>(25 min)</t>
    </r>
  </si>
  <si>
    <r>
      <t>My Applications</t>
    </r>
    <r>
      <rPr>
        <sz val="12"/>
        <color rgb="FF718096"/>
        <rFont val="Helvetica Neue"/>
        <family val="2"/>
      </rPr>
      <t>(50 min)</t>
    </r>
  </si>
  <si>
    <r>
      <t>Book Reading</t>
    </r>
    <r>
      <rPr>
        <sz val="12"/>
        <color rgb="FF718096"/>
        <rFont val="Helvetica Neue"/>
        <family val="2"/>
      </rPr>
      <t>(15 min)</t>
    </r>
  </si>
  <si>
    <r>
      <t>Leader, Communicator</t>
    </r>
    <r>
      <rPr>
        <sz val="12"/>
        <color rgb="FF718096"/>
        <rFont val="Helvetica Neue"/>
        <family val="2"/>
      </rPr>
      <t>(90 min)</t>
    </r>
  </si>
  <si>
    <r>
      <t>Table Topic Practice</t>
    </r>
    <r>
      <rPr>
        <sz val="12"/>
        <color rgb="FF718096"/>
        <rFont val="Helvetica Neue"/>
        <family val="2"/>
      </rPr>
      <t>(15 min)</t>
    </r>
  </si>
  <si>
    <r>
      <t>Dhyan</t>
    </r>
    <r>
      <rPr>
        <sz val="12"/>
        <color rgb="FF718096"/>
        <rFont val="Helvetica Neue"/>
        <family val="2"/>
      </rPr>
      <t>(10 min)</t>
    </r>
  </si>
  <si>
    <r>
      <t>Pranayam</t>
    </r>
    <r>
      <rPr>
        <sz val="12"/>
        <color rgb="FF718096"/>
        <rFont val="Helvetica Neue"/>
        <family val="2"/>
      </rPr>
      <t>(10 min)</t>
    </r>
  </si>
  <si>
    <r>
      <t>Visualization</t>
    </r>
    <r>
      <rPr>
        <sz val="12"/>
        <color rgb="FF718096"/>
        <rFont val="Helvetica Neue"/>
        <family val="2"/>
      </rPr>
      <t>(10 min)</t>
    </r>
  </si>
  <si>
    <r>
      <t>Yoganidra</t>
    </r>
    <r>
      <rPr>
        <sz val="12"/>
        <color rgb="FF718096"/>
        <rFont val="Helvetica Neue"/>
        <family val="2"/>
      </rPr>
      <t>(10 min)</t>
    </r>
  </si>
  <si>
    <r>
      <t>Yogasana</t>
    </r>
    <r>
      <rPr>
        <sz val="12"/>
        <color rgb="FF718096"/>
        <rFont val="Helvetica Neue"/>
        <family val="2"/>
      </rPr>
      <t>(20 min)</t>
    </r>
  </si>
  <si>
    <r>
      <t>Sleep</t>
    </r>
    <r>
      <rPr>
        <sz val="12"/>
        <color rgb="FF718096"/>
        <rFont val="Helvetica Neue"/>
        <family val="2"/>
      </rPr>
      <t>(420 min)</t>
    </r>
  </si>
  <si>
    <r>
      <t>Parent Talk</t>
    </r>
    <r>
      <rPr>
        <sz val="12"/>
        <color rgb="FF718096"/>
        <rFont val="Helvetica Neue"/>
        <family val="2"/>
      </rPr>
      <t>(15 min)</t>
    </r>
  </si>
  <si>
    <r>
      <t>Daughter Sports</t>
    </r>
    <r>
      <rPr>
        <sz val="12"/>
        <color rgb="FF718096"/>
        <rFont val="Helvetica Neue"/>
        <family val="2"/>
      </rPr>
      <t>(30 min)</t>
    </r>
  </si>
  <si>
    <r>
      <t>Home: All Tasks</t>
    </r>
    <r>
      <rPr>
        <sz val="12"/>
        <color rgb="FF718096"/>
        <rFont val="Helvetica Neue"/>
        <family val="2"/>
      </rPr>
      <t>(340 min)</t>
    </r>
  </si>
  <si>
    <r>
      <t>TV, Tube, Social Network</t>
    </r>
    <r>
      <rPr>
        <sz val="12"/>
        <color rgb="FF718096"/>
        <rFont val="Helvetica Neue"/>
        <family val="2"/>
      </rPr>
      <t>(60 min)</t>
    </r>
  </si>
  <si>
    <t>must</t>
  </si>
  <si>
    <t>think</t>
  </si>
  <si>
    <r>
      <t>Yoga, Pranayam</t>
    </r>
    <r>
      <rPr>
        <sz val="12"/>
        <color rgb="FF718096"/>
        <rFont val="Helvetica Neue"/>
        <family val="2"/>
      </rPr>
      <t>(10 min)</t>
    </r>
  </si>
  <si>
    <r>
      <t>Leader, Communicator, My Company</t>
    </r>
    <r>
      <rPr>
        <sz val="12"/>
        <color rgb="FF718096"/>
        <rFont val="Helvetica Neue"/>
        <family val="2"/>
      </rPr>
      <t>(90 min)</t>
    </r>
  </si>
  <si>
    <t>When I am going to previous week, it is not showing previous week tasks.</t>
  </si>
  <si>
    <t>When a month changed, all habits are gone. It should not go in the new months. In fact, habits are irrespective of months.</t>
  </si>
  <si>
    <t>Monthly Count based tasks are not showing in the Today tab.</t>
  </si>
  <si>
    <t>pointer is not moving in the daily -&gt; countbase table with up and down arrows.</t>
  </si>
  <si>
    <t>The current Must Do Task should running on the top.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</si>
</sst>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color theme="1"/>
      <name val="Times New Roman"/>
      <family val="1"/>
    </font>
    <font>
      <sz val="8"/>
      <name val="Aptos Narrow"/>
      <family val="2"/>
      <scheme val="minor"/>
    </font>
    <font>
      <sz val="15"/>
      <color rgb="FF2D3748"/>
      <name val="Helvetica Neue"/>
      <family val="2"/>
    </font>
    <font>
      <sz val="12"/>
      <color rgb="FF718096"/>
      <name val="Helvetica Neue"/>
      <family val="2"/>
    </font>
    <font>
      <sz val="11"/>
      <color rgb="FF32313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5" tint="0.59996337778862885"/>
      </left>
      <right style="thin">
        <color theme="5" tint="0.59996337778862885"/>
      </right>
      <top style="thin">
        <color theme="5" tint="0.59996337778862885"/>
      </top>
      <bottom style="thin">
        <color theme="5" tint="0.59996337778862885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right" vertical="center"/>
    </xf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3A6F4-B763-8744-9913-E9698B0DCD42}">
  <dimension ref="A1:M87"/>
  <sheetViews>
    <sheetView workbookViewId="0">
      <pane xSplit="3" ySplit="3" topLeftCell="D16" activePane="bottomRight" state="frozen"/>
      <selection pane="topRight" activeCell="D1" sqref="D1"/>
      <selection pane="bottomLeft" activeCell="A7" sqref="A7"/>
      <selection pane="bottomRight" activeCell="D20" sqref="D20"/>
    </sheetView>
  </sheetViews>
  <sheetFormatPr baseColWidth="10" defaultRowHeight="16" x14ac:dyDescent="0.2"/>
  <cols>
    <col min="2" max="2" width="17.83203125" bestFit="1" customWidth="1"/>
    <col min="3" max="3" width="60.83203125" customWidth="1"/>
    <col min="4" max="4" width="81.33203125" customWidth="1"/>
    <col min="15" max="15" width="31.83203125" bestFit="1" customWidth="1"/>
  </cols>
  <sheetData>
    <row r="1" spans="1:13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4" customHeight="1" x14ac:dyDescent="0.2">
      <c r="A2" s="1"/>
      <c r="B2" s="10">
        <f>COUNTA(B4:B73)</f>
        <v>67</v>
      </c>
      <c r="C2" s="4">
        <f>COUNTA(C4:D73)</f>
        <v>66</v>
      </c>
      <c r="D2" s="4"/>
      <c r="E2" s="4">
        <f>COUNTA(E4:E73)</f>
        <v>47</v>
      </c>
      <c r="F2" s="4"/>
      <c r="G2" s="4"/>
      <c r="H2" s="4"/>
      <c r="I2" s="4"/>
      <c r="J2" s="4"/>
      <c r="K2" s="4"/>
      <c r="L2" s="1"/>
      <c r="M2" s="1"/>
    </row>
    <row r="3" spans="1:13" ht="24" customHeight="1" x14ac:dyDescent="0.2">
      <c r="A3" s="2"/>
      <c r="B3" s="7" t="s">
        <v>7</v>
      </c>
      <c r="C3" s="7" t="s">
        <v>1</v>
      </c>
      <c r="D3" s="7" t="s">
        <v>8</v>
      </c>
      <c r="E3" s="7" t="s">
        <v>2</v>
      </c>
      <c r="F3" s="7" t="s">
        <v>15</v>
      </c>
      <c r="G3" s="7" t="s">
        <v>65</v>
      </c>
      <c r="H3" s="7" t="s">
        <v>3</v>
      </c>
      <c r="I3" s="7"/>
      <c r="J3" s="7"/>
      <c r="K3" s="7"/>
      <c r="L3" s="3"/>
      <c r="M3" s="1"/>
    </row>
    <row r="4" spans="1:13" ht="24" customHeight="1" x14ac:dyDescent="0.2">
      <c r="A4" s="2"/>
      <c r="B4" s="8"/>
      <c r="C4" s="9"/>
      <c r="D4" s="9"/>
      <c r="E4" s="8"/>
      <c r="F4" s="8"/>
      <c r="G4" s="8"/>
      <c r="H4" s="8"/>
      <c r="I4" s="6"/>
      <c r="J4" s="6"/>
      <c r="K4" s="6"/>
      <c r="L4" s="3"/>
      <c r="M4" s="1"/>
    </row>
    <row r="5" spans="1:13" ht="38" x14ac:dyDescent="0.2">
      <c r="A5" s="2"/>
      <c r="B5" s="8" t="s">
        <v>60</v>
      </c>
      <c r="C5" s="9" t="s">
        <v>61</v>
      </c>
      <c r="D5" s="9"/>
      <c r="E5" s="8" t="s">
        <v>13</v>
      </c>
      <c r="F5" s="8" t="s">
        <v>16</v>
      </c>
      <c r="G5" s="8"/>
      <c r="H5" s="8"/>
      <c r="I5" s="6"/>
      <c r="J5" s="6"/>
      <c r="K5" s="6"/>
      <c r="L5" s="3"/>
      <c r="M5" s="1"/>
    </row>
    <row r="6" spans="1:13" ht="24" customHeight="1" x14ac:dyDescent="0.2">
      <c r="A6" s="2"/>
      <c r="B6" s="8" t="s">
        <v>33</v>
      </c>
      <c r="C6" s="9" t="s">
        <v>35</v>
      </c>
      <c r="D6" s="9"/>
      <c r="E6" s="8" t="s">
        <v>13</v>
      </c>
      <c r="F6" s="8" t="s">
        <v>16</v>
      </c>
      <c r="G6" s="8"/>
      <c r="H6" s="8"/>
      <c r="I6" s="6"/>
      <c r="J6" s="6"/>
      <c r="K6" s="6"/>
      <c r="L6" s="3"/>
      <c r="M6" s="1"/>
    </row>
    <row r="7" spans="1:13" ht="24" customHeight="1" x14ac:dyDescent="0.2">
      <c r="A7" s="2"/>
      <c r="B7" s="8" t="s">
        <v>34</v>
      </c>
      <c r="C7" s="9" t="s">
        <v>36</v>
      </c>
      <c r="D7" s="9"/>
      <c r="E7" s="8" t="s">
        <v>13</v>
      </c>
      <c r="F7" s="8" t="s">
        <v>16</v>
      </c>
      <c r="G7" s="8"/>
      <c r="H7" s="8"/>
      <c r="I7" s="6"/>
      <c r="J7" s="6"/>
      <c r="K7" s="6"/>
      <c r="L7" s="3"/>
      <c r="M7" s="1"/>
    </row>
    <row r="8" spans="1:13" ht="24" customHeight="1" x14ac:dyDescent="0.2">
      <c r="A8" s="2"/>
      <c r="B8" s="8" t="s">
        <v>18</v>
      </c>
      <c r="C8" s="9" t="s">
        <v>19</v>
      </c>
      <c r="D8" s="9"/>
      <c r="E8" s="8" t="s">
        <v>13</v>
      </c>
      <c r="F8" s="8" t="s">
        <v>16</v>
      </c>
      <c r="G8" s="8"/>
      <c r="H8" s="8"/>
      <c r="I8" s="6"/>
      <c r="J8" s="6"/>
      <c r="K8" s="6"/>
      <c r="L8" s="3"/>
      <c r="M8" s="1"/>
    </row>
    <row r="9" spans="1:13" ht="38" x14ac:dyDescent="0.2">
      <c r="A9" s="2"/>
      <c r="B9" s="8" t="s">
        <v>18</v>
      </c>
      <c r="C9" s="9" t="s">
        <v>58</v>
      </c>
      <c r="D9" s="9"/>
      <c r="E9" s="8" t="s">
        <v>13</v>
      </c>
      <c r="F9" s="8" t="s">
        <v>16</v>
      </c>
      <c r="G9" s="8"/>
      <c r="H9" s="8"/>
      <c r="I9" s="6"/>
      <c r="J9" s="6"/>
      <c r="K9" s="6"/>
      <c r="L9" s="3"/>
      <c r="M9" s="1"/>
    </row>
    <row r="10" spans="1:13" ht="19" x14ac:dyDescent="0.2">
      <c r="A10" s="2"/>
      <c r="B10" s="8" t="s">
        <v>18</v>
      </c>
      <c r="C10" s="9" t="s">
        <v>59</v>
      </c>
      <c r="D10" s="9"/>
      <c r="E10" s="8" t="s">
        <v>13</v>
      </c>
      <c r="F10" s="8" t="s">
        <v>16</v>
      </c>
      <c r="G10" s="8"/>
      <c r="H10" s="8"/>
      <c r="I10" s="6"/>
      <c r="J10" s="6"/>
      <c r="K10" s="6"/>
      <c r="L10" s="3"/>
      <c r="M10" s="1"/>
    </row>
    <row r="11" spans="1:13" ht="57" x14ac:dyDescent="0.2">
      <c r="A11" s="2"/>
      <c r="B11" s="8" t="s">
        <v>18</v>
      </c>
      <c r="C11" s="9" t="s">
        <v>84</v>
      </c>
      <c r="D11" s="9"/>
      <c r="E11" s="8"/>
      <c r="F11" s="8"/>
      <c r="G11" s="8"/>
      <c r="H11" s="8"/>
      <c r="I11" s="6"/>
      <c r="J11" s="6"/>
      <c r="K11" s="6"/>
      <c r="L11" s="3"/>
      <c r="M11" s="1"/>
    </row>
    <row r="12" spans="1:13" ht="57" x14ac:dyDescent="0.2">
      <c r="A12" s="2"/>
      <c r="B12" s="8" t="s">
        <v>62</v>
      </c>
      <c r="C12" s="9" t="s">
        <v>83</v>
      </c>
      <c r="D12" s="9"/>
      <c r="E12" s="8"/>
      <c r="F12" s="8"/>
      <c r="G12" s="8"/>
      <c r="H12" s="8"/>
      <c r="I12" s="6"/>
      <c r="J12" s="6"/>
      <c r="K12" s="6"/>
      <c r="L12" s="3"/>
      <c r="M12" s="1"/>
    </row>
    <row r="13" spans="1:13" ht="19" x14ac:dyDescent="0.2">
      <c r="A13" s="2"/>
      <c r="B13" s="8" t="s">
        <v>62</v>
      </c>
      <c r="C13" s="9" t="s">
        <v>63</v>
      </c>
      <c r="D13" s="9"/>
      <c r="E13" s="8" t="s">
        <v>13</v>
      </c>
      <c r="F13" s="8" t="s">
        <v>16</v>
      </c>
      <c r="G13" s="8"/>
      <c r="H13" s="8"/>
      <c r="I13" s="6"/>
      <c r="J13" s="6"/>
      <c r="K13" s="6"/>
      <c r="L13" s="3"/>
      <c r="M13" s="1"/>
    </row>
    <row r="14" spans="1:13" ht="38" x14ac:dyDescent="0.2">
      <c r="A14" s="2"/>
      <c r="B14" s="8" t="s">
        <v>62</v>
      </c>
      <c r="C14" s="9" t="s">
        <v>64</v>
      </c>
      <c r="D14" s="9"/>
      <c r="E14" s="8" t="s">
        <v>13</v>
      </c>
      <c r="F14" s="8" t="s">
        <v>16</v>
      </c>
      <c r="G14" s="8">
        <v>4</v>
      </c>
      <c r="H14" s="8"/>
      <c r="I14" s="6"/>
      <c r="J14" s="6"/>
      <c r="K14" s="6"/>
      <c r="L14" s="3"/>
      <c r="M14" s="1"/>
    </row>
    <row r="15" spans="1:13" ht="38" x14ac:dyDescent="0.2">
      <c r="A15" s="2"/>
      <c r="B15" s="8" t="s">
        <v>62</v>
      </c>
      <c r="C15" s="9" t="s">
        <v>94</v>
      </c>
      <c r="D15" s="9"/>
      <c r="E15" s="8"/>
      <c r="F15" s="8"/>
      <c r="G15" s="8"/>
      <c r="H15" s="8"/>
      <c r="I15" s="6"/>
      <c r="J15" s="6"/>
      <c r="K15" s="6"/>
      <c r="L15" s="3"/>
      <c r="M15" s="1"/>
    </row>
    <row r="16" spans="1:13" ht="24" customHeight="1" x14ac:dyDescent="0.2">
      <c r="A16" s="2"/>
      <c r="B16" s="8" t="s">
        <v>54</v>
      </c>
      <c r="C16" s="9" t="s">
        <v>55</v>
      </c>
      <c r="D16" s="9"/>
      <c r="E16" s="8" t="s">
        <v>13</v>
      </c>
      <c r="F16" s="8" t="s">
        <v>16</v>
      </c>
      <c r="G16" s="8"/>
      <c r="H16" s="8"/>
      <c r="I16" s="6"/>
      <c r="J16" s="6"/>
      <c r="K16" s="6"/>
      <c r="L16" s="3"/>
      <c r="M16" s="1"/>
    </row>
    <row r="17" spans="1:13" ht="133" x14ac:dyDescent="0.2">
      <c r="A17" s="2"/>
      <c r="B17" s="8" t="s">
        <v>54</v>
      </c>
      <c r="C17" s="9"/>
      <c r="D17" s="9" t="s">
        <v>56</v>
      </c>
      <c r="E17" s="8" t="s">
        <v>13</v>
      </c>
      <c r="F17" s="8" t="s">
        <v>16</v>
      </c>
      <c r="G17" s="8"/>
      <c r="H17" s="8"/>
      <c r="I17" s="6"/>
      <c r="J17" s="6"/>
      <c r="K17" s="6"/>
      <c r="L17" s="3"/>
      <c r="M17" s="1"/>
    </row>
    <row r="18" spans="1:13" ht="38" x14ac:dyDescent="0.2">
      <c r="A18" s="2"/>
      <c r="B18" s="8" t="s">
        <v>54</v>
      </c>
      <c r="C18" s="9" t="s">
        <v>57</v>
      </c>
      <c r="D18" s="9"/>
      <c r="E18" s="8" t="s">
        <v>13</v>
      </c>
      <c r="F18" s="8" t="s">
        <v>16</v>
      </c>
      <c r="G18" s="8"/>
      <c r="H18" s="8"/>
      <c r="I18" s="6"/>
      <c r="J18" s="6"/>
      <c r="K18" s="6"/>
      <c r="L18" s="3"/>
      <c r="M18" s="1"/>
    </row>
    <row r="19" spans="1:13" ht="38" x14ac:dyDescent="0.2">
      <c r="A19" s="2"/>
      <c r="B19" s="8" t="s">
        <v>54</v>
      </c>
      <c r="C19" s="9" t="s">
        <v>121</v>
      </c>
      <c r="D19" s="9"/>
      <c r="E19" s="8"/>
      <c r="F19" s="8"/>
      <c r="G19" s="8"/>
      <c r="H19" s="8"/>
      <c r="I19" s="6"/>
      <c r="J19" s="6"/>
      <c r="K19" s="6"/>
      <c r="L19" s="3"/>
      <c r="M19" s="1"/>
    </row>
    <row r="20" spans="1:13" ht="19" x14ac:dyDescent="0.2">
      <c r="A20" s="2"/>
      <c r="B20" s="8" t="s">
        <v>54</v>
      </c>
      <c r="C20" s="9" t="s">
        <v>122</v>
      </c>
      <c r="D20" s="9"/>
      <c r="E20" s="8"/>
      <c r="F20" s="8"/>
      <c r="G20" s="8"/>
      <c r="H20" s="8"/>
      <c r="I20" s="6"/>
      <c r="J20" s="6"/>
      <c r="K20" s="6"/>
      <c r="L20" s="3"/>
      <c r="M20" s="1"/>
    </row>
    <row r="21" spans="1:13" ht="38" x14ac:dyDescent="0.2">
      <c r="A21" s="2"/>
      <c r="B21" s="8" t="s">
        <v>51</v>
      </c>
      <c r="C21" s="9" t="s">
        <v>52</v>
      </c>
      <c r="D21" s="9"/>
      <c r="E21" s="8" t="s">
        <v>13</v>
      </c>
      <c r="F21" s="8" t="s">
        <v>16</v>
      </c>
      <c r="G21" s="8"/>
      <c r="H21" s="8"/>
      <c r="I21" s="6"/>
      <c r="J21" s="6"/>
      <c r="K21" s="6"/>
      <c r="L21" s="3"/>
      <c r="M21" s="1"/>
    </row>
    <row r="22" spans="1:13" ht="38" x14ac:dyDescent="0.2">
      <c r="A22" s="2"/>
      <c r="B22" s="8" t="s">
        <v>51</v>
      </c>
      <c r="C22" s="9"/>
      <c r="D22" s="9" t="s">
        <v>53</v>
      </c>
      <c r="E22" s="8" t="s">
        <v>13</v>
      </c>
      <c r="F22" s="8" t="s">
        <v>16</v>
      </c>
      <c r="G22" s="8"/>
      <c r="H22" s="8"/>
      <c r="I22" s="6"/>
      <c r="J22" s="6"/>
      <c r="K22" s="6"/>
      <c r="L22" s="3"/>
      <c r="M22" s="1"/>
    </row>
    <row r="23" spans="1:13" ht="95" x14ac:dyDescent="0.2">
      <c r="A23" s="2"/>
      <c r="B23" s="8" t="s">
        <v>51</v>
      </c>
      <c r="C23" s="9" t="s">
        <v>81</v>
      </c>
      <c r="D23" s="9"/>
      <c r="E23" s="8" t="s">
        <v>13</v>
      </c>
      <c r="F23" s="8" t="s">
        <v>16</v>
      </c>
      <c r="G23" s="8"/>
      <c r="H23" s="8"/>
      <c r="I23" s="6"/>
      <c r="J23" s="6"/>
      <c r="K23" s="6"/>
      <c r="L23" s="3"/>
      <c r="M23" s="1"/>
    </row>
    <row r="24" spans="1:13" ht="57" x14ac:dyDescent="0.2">
      <c r="A24" s="2"/>
      <c r="B24" s="8" t="s">
        <v>51</v>
      </c>
      <c r="C24" s="9" t="s">
        <v>82</v>
      </c>
      <c r="D24" s="9"/>
      <c r="E24" s="8"/>
      <c r="F24" s="8"/>
      <c r="G24" s="8"/>
      <c r="H24" s="8"/>
      <c r="I24" s="6"/>
      <c r="J24" s="6"/>
      <c r="K24" s="6"/>
      <c r="L24" s="3"/>
      <c r="M24" s="1"/>
    </row>
    <row r="25" spans="1:13" ht="57" x14ac:dyDescent="0.2">
      <c r="A25" s="2"/>
      <c r="B25" s="8" t="s">
        <v>51</v>
      </c>
      <c r="C25" s="9" t="s">
        <v>85</v>
      </c>
      <c r="D25" s="9"/>
      <c r="E25" s="8"/>
      <c r="F25" s="8"/>
      <c r="G25" s="8"/>
      <c r="H25" s="8"/>
      <c r="I25" s="6"/>
      <c r="J25" s="6"/>
      <c r="K25" s="6"/>
      <c r="L25" s="3"/>
      <c r="M25" s="1"/>
    </row>
    <row r="26" spans="1:13" ht="38" x14ac:dyDescent="0.2">
      <c r="A26" s="2"/>
      <c r="B26" s="8" t="s">
        <v>51</v>
      </c>
      <c r="C26" s="9" t="s">
        <v>88</v>
      </c>
      <c r="D26" s="9"/>
      <c r="E26" s="8"/>
      <c r="F26" s="8"/>
      <c r="G26" s="8"/>
      <c r="H26" s="8"/>
      <c r="I26" s="6"/>
      <c r="J26" s="6"/>
      <c r="K26" s="6"/>
      <c r="L26" s="3"/>
      <c r="M26" s="1"/>
    </row>
    <row r="27" spans="1:13" ht="18" x14ac:dyDescent="0.2">
      <c r="A27" s="2"/>
      <c r="B27" s="8" t="s">
        <v>51</v>
      </c>
      <c r="C27" s="9"/>
      <c r="D27" s="9"/>
      <c r="E27" s="8"/>
      <c r="F27" s="8"/>
      <c r="G27" s="8"/>
      <c r="H27" s="8"/>
      <c r="I27" s="6"/>
      <c r="J27" s="6"/>
      <c r="K27" s="6"/>
      <c r="L27" s="3"/>
      <c r="M27" s="1"/>
    </row>
    <row r="28" spans="1:13" ht="38" x14ac:dyDescent="0.2">
      <c r="A28" s="2"/>
      <c r="B28" s="8" t="s">
        <v>51</v>
      </c>
      <c r="C28" s="9" t="s">
        <v>119</v>
      </c>
      <c r="D28" s="9"/>
      <c r="E28" s="8"/>
      <c r="F28" s="8"/>
      <c r="G28" s="8"/>
      <c r="H28" s="8"/>
      <c r="I28" s="6"/>
      <c r="J28" s="6"/>
      <c r="K28" s="6"/>
      <c r="L28" s="3"/>
      <c r="M28" s="1"/>
    </row>
    <row r="29" spans="1:13" ht="24" customHeight="1" x14ac:dyDescent="0.2">
      <c r="A29" s="2"/>
      <c r="B29" s="8" t="s">
        <v>12</v>
      </c>
      <c r="C29" s="9" t="s">
        <v>10</v>
      </c>
      <c r="D29" s="9"/>
      <c r="E29" s="8" t="s">
        <v>13</v>
      </c>
      <c r="F29" s="8" t="s">
        <v>16</v>
      </c>
      <c r="G29" s="8"/>
      <c r="H29" s="8"/>
      <c r="I29" s="6"/>
      <c r="J29" s="6"/>
      <c r="K29" s="6"/>
      <c r="L29" s="3"/>
      <c r="M29" s="1"/>
    </row>
    <row r="30" spans="1:13" ht="76" x14ac:dyDescent="0.2">
      <c r="A30" s="2"/>
      <c r="B30" s="8" t="s">
        <v>12</v>
      </c>
      <c r="C30" s="6"/>
      <c r="D30" s="9" t="s">
        <v>11</v>
      </c>
      <c r="E30" s="8" t="s">
        <v>13</v>
      </c>
      <c r="F30" s="8" t="s">
        <v>16</v>
      </c>
      <c r="G30" s="8"/>
      <c r="H30" s="8"/>
      <c r="I30" s="6"/>
      <c r="J30" s="6"/>
      <c r="K30" s="6"/>
      <c r="L30" s="3"/>
      <c r="M30" s="1"/>
    </row>
    <row r="31" spans="1:13" ht="18" x14ac:dyDescent="0.2">
      <c r="A31" s="2"/>
      <c r="B31" s="8" t="s">
        <v>12</v>
      </c>
      <c r="C31" s="6" t="s">
        <v>37</v>
      </c>
      <c r="D31" s="9"/>
      <c r="E31" s="8" t="s">
        <v>13</v>
      </c>
      <c r="F31" s="8" t="s">
        <v>16</v>
      </c>
      <c r="G31" s="8"/>
      <c r="H31" s="8"/>
      <c r="I31" s="6"/>
      <c r="J31" s="6"/>
      <c r="K31" s="6"/>
      <c r="L31" s="3"/>
      <c r="M31" s="1"/>
    </row>
    <row r="32" spans="1:13" ht="18" x14ac:dyDescent="0.2">
      <c r="A32" s="2"/>
      <c r="B32" s="8" t="s">
        <v>12</v>
      </c>
      <c r="C32" s="6" t="s">
        <v>38</v>
      </c>
      <c r="D32" s="9"/>
      <c r="E32" s="8" t="s">
        <v>13</v>
      </c>
      <c r="F32" s="8" t="s">
        <v>16</v>
      </c>
      <c r="G32" s="8"/>
      <c r="H32" s="8"/>
      <c r="I32" s="6"/>
      <c r="J32" s="6"/>
      <c r="K32" s="6"/>
      <c r="L32" s="3"/>
      <c r="M32" s="1"/>
    </row>
    <row r="33" spans="1:13" ht="19" x14ac:dyDescent="0.2">
      <c r="A33" s="2"/>
      <c r="B33" s="8" t="s">
        <v>12</v>
      </c>
      <c r="C33" s="6"/>
      <c r="D33" s="9" t="s">
        <v>39</v>
      </c>
      <c r="E33" s="8" t="s">
        <v>13</v>
      </c>
      <c r="F33" s="8" t="s">
        <v>16</v>
      </c>
      <c r="G33" s="8"/>
      <c r="H33" s="8"/>
      <c r="I33" s="6"/>
      <c r="J33" s="6"/>
      <c r="K33" s="6"/>
      <c r="L33" s="3"/>
      <c r="M33" s="1"/>
    </row>
    <row r="34" spans="1:13" ht="19" x14ac:dyDescent="0.2">
      <c r="A34" s="2"/>
      <c r="B34" s="8" t="s">
        <v>12</v>
      </c>
      <c r="C34" s="6"/>
      <c r="D34" s="9" t="s">
        <v>40</v>
      </c>
      <c r="E34" s="8" t="s">
        <v>13</v>
      </c>
      <c r="F34" s="8" t="s">
        <v>16</v>
      </c>
      <c r="G34" s="8"/>
      <c r="H34" s="8"/>
      <c r="I34" s="6"/>
      <c r="J34" s="6"/>
      <c r="K34" s="6"/>
      <c r="L34" s="3"/>
      <c r="M34" s="1"/>
    </row>
    <row r="35" spans="1:13" ht="26" customHeight="1" x14ac:dyDescent="0.2">
      <c r="A35" s="2"/>
      <c r="B35" s="8" t="s">
        <v>9</v>
      </c>
      <c r="C35" s="6" t="s">
        <v>10</v>
      </c>
      <c r="D35" s="6"/>
      <c r="E35" s="8" t="s">
        <v>13</v>
      </c>
      <c r="F35" s="8" t="s">
        <v>16</v>
      </c>
      <c r="G35" s="8"/>
      <c r="H35" s="8"/>
      <c r="I35" s="6"/>
      <c r="J35" s="6"/>
      <c r="K35" s="6"/>
      <c r="L35" s="3"/>
      <c r="M35" s="1"/>
    </row>
    <row r="36" spans="1:13" ht="76" x14ac:dyDescent="0.2">
      <c r="A36" s="2"/>
      <c r="B36" s="8" t="s">
        <v>9</v>
      </c>
      <c r="C36" s="6"/>
      <c r="D36" s="9" t="s">
        <v>11</v>
      </c>
      <c r="E36" s="8" t="s">
        <v>13</v>
      </c>
      <c r="F36" s="8" t="s">
        <v>16</v>
      </c>
      <c r="G36" s="8"/>
      <c r="H36" s="8"/>
      <c r="I36" s="6"/>
      <c r="J36" s="6"/>
      <c r="K36" s="6"/>
      <c r="L36" s="3"/>
      <c r="M36" s="1"/>
    </row>
    <row r="37" spans="1:13" ht="24" customHeight="1" x14ac:dyDescent="0.2">
      <c r="A37" s="2"/>
      <c r="B37" s="8" t="s">
        <v>9</v>
      </c>
      <c r="C37" s="6" t="s">
        <v>14</v>
      </c>
      <c r="D37" s="9"/>
      <c r="E37" s="8" t="s">
        <v>13</v>
      </c>
      <c r="F37" s="8" t="s">
        <v>17</v>
      </c>
      <c r="G37" s="8"/>
      <c r="H37" s="8"/>
      <c r="I37" s="6"/>
      <c r="J37" s="6"/>
      <c r="K37" s="6"/>
      <c r="L37" s="3"/>
      <c r="M37" s="1"/>
    </row>
    <row r="38" spans="1:13" ht="24" customHeight="1" x14ac:dyDescent="0.2">
      <c r="A38" s="2"/>
      <c r="B38" s="8" t="s">
        <v>9</v>
      </c>
      <c r="C38" s="6" t="s">
        <v>41</v>
      </c>
      <c r="D38" s="9"/>
      <c r="E38" s="8" t="s">
        <v>13</v>
      </c>
      <c r="F38" s="8" t="s">
        <v>17</v>
      </c>
      <c r="G38" s="8"/>
      <c r="H38" s="8"/>
      <c r="I38" s="6"/>
      <c r="J38" s="6"/>
      <c r="K38" s="6"/>
      <c r="L38" s="3"/>
      <c r="M38" s="1"/>
    </row>
    <row r="39" spans="1:13" ht="95" x14ac:dyDescent="0.2">
      <c r="A39" s="2"/>
      <c r="B39" s="8" t="s">
        <v>9</v>
      </c>
      <c r="C39" s="6"/>
      <c r="D39" s="9" t="s">
        <v>42</v>
      </c>
      <c r="E39" s="8" t="s">
        <v>13</v>
      </c>
      <c r="F39" s="8" t="s">
        <v>17</v>
      </c>
      <c r="G39" s="8"/>
      <c r="H39" s="8"/>
      <c r="I39" s="6"/>
      <c r="J39" s="6"/>
      <c r="K39" s="6"/>
      <c r="L39" s="3"/>
      <c r="M39" s="1"/>
    </row>
    <row r="40" spans="1:13" ht="95" x14ac:dyDescent="0.2">
      <c r="A40" s="2"/>
      <c r="B40" s="8" t="s">
        <v>70</v>
      </c>
      <c r="C40" s="9" t="s">
        <v>71</v>
      </c>
      <c r="D40" s="9"/>
      <c r="E40" s="8" t="s">
        <v>13</v>
      </c>
      <c r="F40" s="8" t="s">
        <v>72</v>
      </c>
      <c r="G40" s="8">
        <v>3</v>
      </c>
      <c r="H40" s="8"/>
      <c r="I40" s="6"/>
      <c r="J40" s="6"/>
      <c r="K40" s="6"/>
      <c r="L40" s="3"/>
      <c r="M40" s="1"/>
    </row>
    <row r="41" spans="1:13" ht="57" x14ac:dyDescent="0.2">
      <c r="A41" s="2"/>
      <c r="B41" s="8" t="s">
        <v>24</v>
      </c>
      <c r="C41" s="9" t="s">
        <v>25</v>
      </c>
      <c r="D41" s="9"/>
      <c r="E41" s="8" t="s">
        <v>13</v>
      </c>
      <c r="F41" s="8" t="s">
        <v>16</v>
      </c>
      <c r="G41" s="8"/>
      <c r="H41" s="8"/>
      <c r="I41" s="6"/>
      <c r="J41" s="6"/>
      <c r="K41" s="6"/>
      <c r="L41" s="3"/>
      <c r="M41" s="1"/>
    </row>
    <row r="42" spans="1:13" ht="19" x14ac:dyDescent="0.2">
      <c r="A42" s="2"/>
      <c r="B42" s="8" t="s">
        <v>24</v>
      </c>
      <c r="C42" s="9" t="s">
        <v>26</v>
      </c>
      <c r="D42" s="9"/>
      <c r="E42" s="8" t="s">
        <v>13</v>
      </c>
      <c r="F42" s="8" t="s">
        <v>16</v>
      </c>
      <c r="G42" s="8"/>
      <c r="H42" s="8"/>
      <c r="I42" s="6"/>
      <c r="J42" s="6"/>
      <c r="K42" s="6"/>
      <c r="L42" s="3"/>
      <c r="M42" s="1"/>
    </row>
    <row r="43" spans="1:13" ht="38" x14ac:dyDescent="0.2">
      <c r="A43" s="2"/>
      <c r="B43" s="8" t="s">
        <v>24</v>
      </c>
      <c r="C43" s="9" t="s">
        <v>43</v>
      </c>
      <c r="D43" s="9"/>
      <c r="E43" s="8" t="s">
        <v>13</v>
      </c>
      <c r="F43" s="8" t="s">
        <v>16</v>
      </c>
      <c r="G43" s="8"/>
      <c r="H43" s="8"/>
      <c r="I43" s="6"/>
      <c r="J43" s="6"/>
      <c r="K43" s="6"/>
      <c r="L43" s="3"/>
      <c r="M43" s="1"/>
    </row>
    <row r="44" spans="1:13" ht="95" x14ac:dyDescent="0.2">
      <c r="A44" s="2"/>
      <c r="B44" s="8" t="s">
        <v>24</v>
      </c>
      <c r="C44" s="9" t="s">
        <v>44</v>
      </c>
      <c r="D44" s="9"/>
      <c r="E44" s="8" t="s">
        <v>28</v>
      </c>
      <c r="F44" s="8" t="s">
        <v>28</v>
      </c>
      <c r="G44" s="8"/>
      <c r="H44" s="8"/>
      <c r="I44" s="6"/>
      <c r="J44" s="6"/>
      <c r="K44" s="6"/>
      <c r="L44" s="3"/>
      <c r="M44" s="1"/>
    </row>
    <row r="45" spans="1:13" ht="19" x14ac:dyDescent="0.2">
      <c r="A45" s="2"/>
      <c r="B45" s="8" t="s">
        <v>24</v>
      </c>
      <c r="C45" s="9" t="s">
        <v>45</v>
      </c>
      <c r="D45" s="9"/>
      <c r="E45" s="8" t="s">
        <v>13</v>
      </c>
      <c r="F45" s="8" t="s">
        <v>16</v>
      </c>
      <c r="G45" s="8"/>
      <c r="H45" s="8"/>
      <c r="I45" s="6"/>
      <c r="J45" s="6"/>
      <c r="K45" s="6"/>
      <c r="L45" s="3"/>
      <c r="M45" s="1"/>
    </row>
    <row r="46" spans="1:13" ht="57" x14ac:dyDescent="0.2">
      <c r="A46" s="2"/>
      <c r="B46" s="8" t="s">
        <v>24</v>
      </c>
      <c r="C46" s="9" t="s">
        <v>46</v>
      </c>
      <c r="D46" s="9"/>
      <c r="E46" s="8" t="s">
        <v>13</v>
      </c>
      <c r="F46" s="8" t="s">
        <v>16</v>
      </c>
      <c r="G46" s="8"/>
      <c r="H46" s="8"/>
      <c r="I46" s="6"/>
      <c r="J46" s="6"/>
      <c r="K46" s="6"/>
      <c r="L46" s="3"/>
      <c r="M46" s="1"/>
    </row>
    <row r="47" spans="1:13" ht="76" x14ac:dyDescent="0.2">
      <c r="A47" s="2"/>
      <c r="B47" s="8" t="s">
        <v>24</v>
      </c>
      <c r="C47" s="9" t="s">
        <v>66</v>
      </c>
      <c r="D47" s="9"/>
      <c r="E47" s="8" t="s">
        <v>13</v>
      </c>
      <c r="F47" s="8" t="s">
        <v>16</v>
      </c>
      <c r="G47" s="8"/>
      <c r="H47" s="8"/>
      <c r="I47" s="6"/>
      <c r="J47" s="6"/>
      <c r="K47" s="6"/>
      <c r="L47" s="3"/>
      <c r="M47" s="1"/>
    </row>
    <row r="48" spans="1:13" ht="57" x14ac:dyDescent="0.2">
      <c r="A48" s="2"/>
      <c r="B48" s="8" t="s">
        <v>24</v>
      </c>
      <c r="C48" s="9" t="s">
        <v>67</v>
      </c>
      <c r="D48" s="9"/>
      <c r="E48" s="8" t="s">
        <v>13</v>
      </c>
      <c r="F48" s="8" t="s">
        <v>16</v>
      </c>
      <c r="G48" s="8"/>
      <c r="H48" s="8"/>
      <c r="I48" s="6"/>
      <c r="J48" s="6"/>
      <c r="K48" s="6"/>
      <c r="L48" s="3"/>
      <c r="M48" s="1"/>
    </row>
    <row r="49" spans="1:13" ht="114" x14ac:dyDescent="0.2">
      <c r="A49" s="2"/>
      <c r="B49" s="8" t="s">
        <v>24</v>
      </c>
      <c r="C49" s="9" t="s">
        <v>86</v>
      </c>
      <c r="D49" s="9"/>
      <c r="E49" s="8" t="s">
        <v>13</v>
      </c>
      <c r="F49" s="8" t="s">
        <v>16</v>
      </c>
      <c r="G49" s="8"/>
      <c r="H49" s="8"/>
      <c r="I49" s="6"/>
      <c r="J49" s="6"/>
      <c r="K49" s="6"/>
      <c r="L49" s="3"/>
      <c r="M49" s="1"/>
    </row>
    <row r="50" spans="1:13" ht="38" x14ac:dyDescent="0.2">
      <c r="A50" s="2"/>
      <c r="B50" s="8" t="s">
        <v>24</v>
      </c>
      <c r="C50" s="9" t="s">
        <v>87</v>
      </c>
      <c r="D50" s="9"/>
      <c r="E50" s="8"/>
      <c r="F50" s="8"/>
      <c r="G50" s="8"/>
      <c r="H50" s="8"/>
      <c r="I50" s="6"/>
      <c r="J50" s="6"/>
      <c r="K50" s="6"/>
      <c r="L50" s="3"/>
      <c r="M50" s="1"/>
    </row>
    <row r="51" spans="1:13" ht="19" x14ac:dyDescent="0.2">
      <c r="A51" s="2"/>
      <c r="B51" s="8" t="s">
        <v>24</v>
      </c>
      <c r="C51" s="9" t="s">
        <v>89</v>
      </c>
      <c r="D51" s="9"/>
      <c r="E51" s="8"/>
      <c r="F51" s="8"/>
      <c r="G51" s="8"/>
      <c r="H51" s="8"/>
      <c r="I51" s="6"/>
      <c r="J51" s="6"/>
      <c r="K51" s="6"/>
      <c r="L51" s="3"/>
      <c r="M51" s="1"/>
    </row>
    <row r="52" spans="1:13" ht="38" x14ac:dyDescent="0.2">
      <c r="A52" s="2"/>
      <c r="B52" s="8" t="s">
        <v>24</v>
      </c>
      <c r="C52" s="9" t="s">
        <v>95</v>
      </c>
      <c r="D52" s="9"/>
      <c r="E52" s="8"/>
      <c r="F52" s="8"/>
      <c r="G52" s="8"/>
      <c r="H52" s="8"/>
      <c r="I52" s="6"/>
      <c r="J52" s="6"/>
      <c r="K52" s="6"/>
      <c r="L52" s="3"/>
      <c r="M52" s="1"/>
    </row>
    <row r="53" spans="1:13" ht="19" x14ac:dyDescent="0.2">
      <c r="A53" s="2"/>
      <c r="B53" s="8" t="s">
        <v>24</v>
      </c>
      <c r="C53" s="9" t="s">
        <v>96</v>
      </c>
      <c r="D53" s="9"/>
      <c r="E53" s="8"/>
      <c r="F53" s="8"/>
      <c r="G53" s="8"/>
      <c r="H53" s="8"/>
      <c r="I53" s="6"/>
      <c r="J53" s="6"/>
      <c r="K53" s="6"/>
      <c r="L53" s="3"/>
      <c r="M53" s="1"/>
    </row>
    <row r="54" spans="1:13" ht="19" x14ac:dyDescent="0.2">
      <c r="A54" s="2"/>
      <c r="B54" s="8" t="s">
        <v>24</v>
      </c>
      <c r="C54" s="9" t="s">
        <v>120</v>
      </c>
      <c r="D54" s="9"/>
      <c r="E54" s="8"/>
      <c r="F54" s="8"/>
      <c r="G54" s="8"/>
      <c r="H54" s="8"/>
      <c r="I54" s="6"/>
      <c r="J54" s="6"/>
      <c r="K54" s="6"/>
      <c r="L54" s="3"/>
      <c r="M54" s="1"/>
    </row>
    <row r="55" spans="1:13" ht="38" x14ac:dyDescent="0.2">
      <c r="A55" s="2"/>
      <c r="B55" s="8" t="s">
        <v>27</v>
      </c>
      <c r="C55" s="9" t="s">
        <v>29</v>
      </c>
      <c r="D55" s="9"/>
      <c r="E55" s="8" t="s">
        <v>28</v>
      </c>
      <c r="F55" s="8" t="s">
        <v>28</v>
      </c>
      <c r="G55" s="8"/>
      <c r="H55" s="8"/>
      <c r="I55" s="6"/>
      <c r="J55" s="6"/>
      <c r="K55" s="6"/>
      <c r="L55" s="3"/>
      <c r="M55" s="1"/>
    </row>
    <row r="56" spans="1:13" ht="38" x14ac:dyDescent="0.2">
      <c r="A56" s="2"/>
      <c r="B56" s="8" t="s">
        <v>27</v>
      </c>
      <c r="C56" s="9"/>
      <c r="D56" s="9" t="s">
        <v>30</v>
      </c>
      <c r="E56" s="8" t="s">
        <v>28</v>
      </c>
      <c r="F56" s="8" t="s">
        <v>28</v>
      </c>
      <c r="G56" s="8"/>
      <c r="H56" s="8"/>
      <c r="I56" s="6"/>
      <c r="J56" s="6"/>
      <c r="K56" s="6"/>
      <c r="L56" s="3"/>
      <c r="M56" s="1"/>
    </row>
    <row r="57" spans="1:13" ht="57" x14ac:dyDescent="0.2">
      <c r="A57" s="2"/>
      <c r="B57" s="8" t="s">
        <v>27</v>
      </c>
      <c r="C57" s="9" t="s">
        <v>47</v>
      </c>
      <c r="D57" s="9"/>
      <c r="E57" s="8" t="s">
        <v>13</v>
      </c>
      <c r="F57" s="8" t="s">
        <v>16</v>
      </c>
      <c r="G57" s="8"/>
      <c r="H57" s="8"/>
      <c r="I57" s="6"/>
      <c r="J57" s="6"/>
      <c r="K57" s="6"/>
      <c r="L57" s="3"/>
      <c r="M57" s="1"/>
    </row>
    <row r="58" spans="1:13" ht="19" x14ac:dyDescent="0.2">
      <c r="A58" s="2"/>
      <c r="B58" s="8" t="s">
        <v>27</v>
      </c>
      <c r="C58" s="9"/>
      <c r="D58" s="9" t="s">
        <v>48</v>
      </c>
      <c r="E58" s="8" t="s">
        <v>13</v>
      </c>
      <c r="F58" s="8" t="s">
        <v>16</v>
      </c>
      <c r="G58" s="8"/>
      <c r="H58" s="8"/>
      <c r="I58" s="6"/>
      <c r="J58" s="6"/>
      <c r="K58" s="6"/>
      <c r="L58" s="3"/>
      <c r="M58" s="1"/>
    </row>
    <row r="59" spans="1:13" ht="38" x14ac:dyDescent="0.2">
      <c r="A59" s="2"/>
      <c r="B59" s="8" t="s">
        <v>27</v>
      </c>
      <c r="C59" s="9" t="s">
        <v>49</v>
      </c>
      <c r="D59" s="9"/>
      <c r="E59" s="8" t="s">
        <v>13</v>
      </c>
      <c r="F59" s="8" t="s">
        <v>16</v>
      </c>
      <c r="G59" s="8"/>
      <c r="H59" s="8"/>
      <c r="I59" s="6"/>
      <c r="J59" s="6"/>
      <c r="K59" s="6"/>
      <c r="L59" s="3"/>
      <c r="M59" s="1"/>
    </row>
    <row r="60" spans="1:13" ht="19" x14ac:dyDescent="0.2">
      <c r="A60" s="2"/>
      <c r="B60" s="8" t="s">
        <v>27</v>
      </c>
      <c r="C60" s="9"/>
      <c r="D60" s="9" t="s">
        <v>50</v>
      </c>
      <c r="E60" s="8" t="s">
        <v>13</v>
      </c>
      <c r="F60" s="8" t="s">
        <v>16</v>
      </c>
      <c r="G60" s="8"/>
      <c r="H60" s="8"/>
      <c r="I60" s="6"/>
      <c r="J60" s="6"/>
      <c r="K60" s="6"/>
      <c r="L60" s="3"/>
      <c r="M60" s="1"/>
    </row>
    <row r="61" spans="1:13" ht="57" x14ac:dyDescent="0.2">
      <c r="A61" s="2"/>
      <c r="B61" s="8" t="s">
        <v>27</v>
      </c>
      <c r="C61" s="9" t="s">
        <v>68</v>
      </c>
      <c r="D61" s="9"/>
      <c r="E61" s="8" t="s">
        <v>13</v>
      </c>
      <c r="F61" s="8" t="s">
        <v>16</v>
      </c>
      <c r="G61" s="8"/>
      <c r="H61" s="8"/>
      <c r="I61" s="6"/>
      <c r="J61" s="6"/>
      <c r="K61" s="6"/>
      <c r="L61" s="3"/>
      <c r="M61" s="1"/>
    </row>
    <row r="62" spans="1:13" ht="38" x14ac:dyDescent="0.2">
      <c r="A62" s="2"/>
      <c r="B62" s="8" t="s">
        <v>31</v>
      </c>
      <c r="C62" s="9" t="s">
        <v>32</v>
      </c>
      <c r="D62" s="9"/>
      <c r="E62" s="8" t="s">
        <v>28</v>
      </c>
      <c r="F62" s="8" t="s">
        <v>28</v>
      </c>
      <c r="G62" s="8"/>
      <c r="H62" s="8"/>
      <c r="I62" s="6"/>
      <c r="J62" s="6"/>
      <c r="K62" s="6"/>
      <c r="L62" s="3"/>
      <c r="M62" s="1"/>
    </row>
    <row r="63" spans="1:13" ht="24" customHeight="1" x14ac:dyDescent="0.2">
      <c r="A63" s="2"/>
      <c r="B63" s="8" t="s">
        <v>31</v>
      </c>
      <c r="C63" s="9"/>
      <c r="D63" s="9" t="s">
        <v>30</v>
      </c>
      <c r="E63" s="8" t="s">
        <v>28</v>
      </c>
      <c r="F63" s="8" t="s">
        <v>28</v>
      </c>
      <c r="G63" s="8"/>
      <c r="H63" s="8"/>
      <c r="I63" s="6"/>
      <c r="J63" s="6"/>
      <c r="K63" s="6"/>
      <c r="L63" s="3"/>
      <c r="M63" s="1"/>
    </row>
    <row r="64" spans="1:13" ht="57" x14ac:dyDescent="0.2">
      <c r="A64" s="2"/>
      <c r="B64" s="8" t="s">
        <v>31</v>
      </c>
      <c r="C64" s="9" t="s">
        <v>69</v>
      </c>
      <c r="D64" s="9"/>
      <c r="E64" s="8" t="s">
        <v>13</v>
      </c>
      <c r="F64" s="8" t="s">
        <v>16</v>
      </c>
      <c r="G64" s="8">
        <v>4</v>
      </c>
      <c r="H64" s="8"/>
      <c r="I64" s="6"/>
      <c r="J64" s="6"/>
      <c r="K64" s="6"/>
      <c r="L64" s="3"/>
      <c r="M64" s="1"/>
    </row>
    <row r="65" spans="1:13" ht="38" x14ac:dyDescent="0.2">
      <c r="A65" s="2"/>
      <c r="B65" s="8" t="s">
        <v>31</v>
      </c>
      <c r="C65" s="9" t="s">
        <v>75</v>
      </c>
      <c r="D65" s="9"/>
      <c r="E65" s="8" t="s">
        <v>13</v>
      </c>
      <c r="F65" s="8" t="s">
        <v>16</v>
      </c>
      <c r="G65" s="8">
        <v>3</v>
      </c>
      <c r="H65" s="8"/>
      <c r="I65" s="6"/>
      <c r="J65" s="6"/>
      <c r="K65" s="6"/>
      <c r="L65" s="3"/>
      <c r="M65" s="1"/>
    </row>
    <row r="66" spans="1:13" ht="38" x14ac:dyDescent="0.2">
      <c r="A66" s="2"/>
      <c r="B66" s="8" t="s">
        <v>73</v>
      </c>
      <c r="C66" s="9" t="s">
        <v>74</v>
      </c>
      <c r="D66" s="9"/>
      <c r="E66" s="8" t="s">
        <v>13</v>
      </c>
      <c r="F66" s="8" t="s">
        <v>16</v>
      </c>
      <c r="G66" s="8">
        <v>4</v>
      </c>
      <c r="H66" s="8"/>
      <c r="I66" s="6"/>
      <c r="J66" s="6"/>
      <c r="K66" s="6"/>
      <c r="L66" s="3"/>
      <c r="M66" s="1"/>
    </row>
    <row r="67" spans="1:13" ht="38" x14ac:dyDescent="0.2">
      <c r="A67" s="2"/>
      <c r="B67" s="8" t="s">
        <v>73</v>
      </c>
      <c r="C67" s="9" t="s">
        <v>118</v>
      </c>
      <c r="D67" s="9"/>
      <c r="E67" s="8"/>
      <c r="F67" s="8"/>
      <c r="G67" s="8"/>
      <c r="H67" s="8"/>
      <c r="I67" s="6"/>
      <c r="J67" s="6"/>
      <c r="K67" s="6"/>
      <c r="L67" s="3"/>
      <c r="M67" s="1"/>
    </row>
    <row r="68" spans="1:13" ht="76" x14ac:dyDescent="0.2">
      <c r="A68" s="2"/>
      <c r="B68" s="8" t="s">
        <v>28</v>
      </c>
      <c r="C68" s="9" t="s">
        <v>90</v>
      </c>
      <c r="D68" s="9"/>
      <c r="E68" s="8"/>
      <c r="F68" s="8"/>
      <c r="G68" s="8"/>
      <c r="H68" s="8"/>
      <c r="I68" s="6"/>
      <c r="J68" s="6"/>
      <c r="K68" s="6"/>
      <c r="L68" s="3"/>
      <c r="M68" s="1"/>
    </row>
    <row r="69" spans="1:13" ht="38" x14ac:dyDescent="0.2">
      <c r="A69" s="2"/>
      <c r="B69" s="8" t="s">
        <v>28</v>
      </c>
      <c r="C69" s="9" t="s">
        <v>91</v>
      </c>
      <c r="D69" s="9"/>
      <c r="E69" s="8"/>
      <c r="F69" s="8"/>
      <c r="G69" s="8"/>
      <c r="H69" s="8"/>
      <c r="I69" s="6"/>
      <c r="J69" s="6"/>
      <c r="K69" s="6"/>
      <c r="L69" s="3"/>
      <c r="M69" s="1"/>
    </row>
    <row r="70" spans="1:13" ht="76" x14ac:dyDescent="0.2">
      <c r="A70" s="2"/>
      <c r="B70" s="8" t="s">
        <v>28</v>
      </c>
      <c r="C70" s="9" t="s">
        <v>92</v>
      </c>
      <c r="D70" s="9"/>
      <c r="E70" s="8"/>
      <c r="F70" s="8"/>
      <c r="G70" s="8"/>
      <c r="H70" s="8"/>
      <c r="I70" s="6"/>
      <c r="J70" s="6"/>
      <c r="K70" s="6"/>
      <c r="L70" s="3"/>
      <c r="M70" s="1"/>
    </row>
    <row r="71" spans="1:13" ht="76" x14ac:dyDescent="0.2">
      <c r="A71" s="2"/>
      <c r="B71" s="8" t="s">
        <v>28</v>
      </c>
      <c r="C71" s="9" t="s">
        <v>93</v>
      </c>
      <c r="D71" s="9"/>
      <c r="E71" s="8"/>
      <c r="F71" s="8"/>
      <c r="G71" s="8"/>
      <c r="H71" s="8"/>
      <c r="I71" s="6"/>
      <c r="J71" s="6"/>
      <c r="K71" s="6"/>
      <c r="L71" s="3"/>
      <c r="M71" s="1"/>
    </row>
    <row r="72" spans="1:13" ht="24" customHeight="1" x14ac:dyDescent="0.2">
      <c r="A72" s="2"/>
      <c r="B72" s="8"/>
      <c r="C72" s="9"/>
      <c r="D72" s="9"/>
      <c r="E72" s="8"/>
      <c r="F72" s="8"/>
      <c r="G72" s="8"/>
      <c r="H72" s="8"/>
      <c r="I72" s="6"/>
      <c r="J72" s="6"/>
      <c r="K72" s="6"/>
      <c r="L72" s="3"/>
      <c r="M72" s="1"/>
    </row>
    <row r="73" spans="1:13" ht="24" customHeight="1" x14ac:dyDescent="0.2">
      <c r="A73" s="2"/>
      <c r="B73" s="8"/>
      <c r="C73" s="9"/>
      <c r="D73" s="9"/>
      <c r="E73" s="8"/>
      <c r="F73" s="8"/>
      <c r="G73" s="8"/>
      <c r="H73" s="8"/>
      <c r="I73" s="6"/>
      <c r="J73" s="6"/>
      <c r="K73" s="6"/>
      <c r="L73" s="3"/>
      <c r="M73" s="1"/>
    </row>
    <row r="74" spans="1:13" ht="24" customHeight="1" x14ac:dyDescent="0.2">
      <c r="A74" s="1"/>
      <c r="B74" s="5"/>
      <c r="C74" s="5"/>
      <c r="D74" s="5"/>
      <c r="E74" s="5"/>
      <c r="F74" s="5"/>
      <c r="G74" s="5"/>
      <c r="H74" s="5"/>
      <c r="I74" s="5"/>
      <c r="J74" s="5"/>
      <c r="K74" s="5"/>
      <c r="L74" s="1"/>
      <c r="M74" s="1"/>
    </row>
    <row r="75" spans="1:13" ht="24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3" ht="24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</row>
    <row r="77" spans="1:13" ht="24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3" ht="24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</row>
    <row r="79" spans="1:13" ht="24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</row>
    <row r="80" spans="1:13" ht="24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</row>
    <row r="81" spans="1:13" ht="24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</row>
    <row r="82" spans="1:13" ht="24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</row>
    <row r="83" spans="1:13" ht="24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</row>
    <row r="84" spans="1:13" ht="24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</row>
    <row r="85" spans="1:13" ht="24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</row>
    <row r="86" spans="1:13" ht="24" customHeight="1" x14ac:dyDescent="0.2"/>
    <row r="87" spans="1:13" ht="24" customHeight="1" x14ac:dyDescent="0.2"/>
  </sheetData>
  <phoneticPr fontId="2" type="noConversion"/>
  <conditionalFormatting sqref="B4:K73">
    <cfRule type="expression" dxfId="3" priority="1">
      <formula>$H4="Done"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D08A1-EDEE-B44A-832A-B4E3F94AC1A0}">
  <dimension ref="A1:L26"/>
  <sheetViews>
    <sheetView workbookViewId="0">
      <selection activeCell="D8" sqref="D8"/>
    </sheetView>
  </sheetViews>
  <sheetFormatPr baseColWidth="10" defaultRowHeight="16" x14ac:dyDescent="0.2"/>
  <cols>
    <col min="3" max="3" width="65.33203125" bestFit="1" customWidth="1"/>
    <col min="4" max="4" width="65.33203125" customWidth="1"/>
  </cols>
  <sheetData>
    <row r="1" spans="1:12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4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4" customHeight="1" x14ac:dyDescent="0.2">
      <c r="A4" s="1"/>
      <c r="B4" s="4"/>
      <c r="C4" s="4"/>
      <c r="D4" s="4"/>
      <c r="E4" s="4"/>
      <c r="F4" s="4"/>
      <c r="G4" s="4"/>
      <c r="H4" s="4"/>
      <c r="I4" s="4"/>
      <c r="J4" s="4"/>
      <c r="K4" s="1"/>
      <c r="L4" s="1"/>
    </row>
    <row r="5" spans="1:12" ht="24" customHeight="1" x14ac:dyDescent="0.2">
      <c r="A5" s="2"/>
      <c r="B5" s="7" t="s">
        <v>0</v>
      </c>
      <c r="C5" s="7" t="s">
        <v>1</v>
      </c>
      <c r="D5" s="7" t="s">
        <v>6</v>
      </c>
      <c r="E5" s="7" t="s">
        <v>2</v>
      </c>
      <c r="F5" s="7"/>
      <c r="G5" s="7" t="s">
        <v>3</v>
      </c>
      <c r="H5" s="7"/>
      <c r="I5" s="7"/>
      <c r="J5" s="7"/>
      <c r="K5" s="3"/>
      <c r="L5" s="1"/>
    </row>
    <row r="6" spans="1:12" ht="24" customHeight="1" x14ac:dyDescent="0.2">
      <c r="A6" s="2"/>
      <c r="B6" s="8"/>
      <c r="C6" s="6"/>
      <c r="D6" s="6"/>
      <c r="E6" s="8"/>
      <c r="F6" s="6"/>
      <c r="G6" s="8"/>
      <c r="H6" s="6"/>
      <c r="I6" s="6"/>
      <c r="J6" s="6"/>
      <c r="K6" s="3"/>
      <c r="L6" s="1"/>
    </row>
    <row r="7" spans="1:12" ht="24" customHeight="1" x14ac:dyDescent="0.2">
      <c r="A7" s="2"/>
      <c r="B7" s="8">
        <v>1</v>
      </c>
      <c r="C7" s="6" t="s">
        <v>5</v>
      </c>
      <c r="D7" s="6"/>
      <c r="E7" s="8"/>
      <c r="F7" s="6"/>
      <c r="G7" s="8" t="s">
        <v>4</v>
      </c>
      <c r="H7" s="6"/>
      <c r="I7" s="6"/>
      <c r="J7" s="6"/>
      <c r="K7" s="3"/>
      <c r="L7" s="1"/>
    </row>
    <row r="8" spans="1:12" ht="24" customHeight="1" x14ac:dyDescent="0.2">
      <c r="A8" s="2"/>
      <c r="B8" s="8"/>
      <c r="C8" s="6"/>
      <c r="D8" s="6"/>
      <c r="E8" s="8"/>
      <c r="F8" s="6"/>
      <c r="G8" s="8"/>
      <c r="H8" s="6"/>
      <c r="I8" s="6"/>
      <c r="J8" s="6"/>
      <c r="K8" s="3"/>
      <c r="L8" s="1"/>
    </row>
    <row r="9" spans="1:12" ht="24" customHeight="1" x14ac:dyDescent="0.2">
      <c r="A9" s="2"/>
      <c r="B9" s="8"/>
      <c r="C9" s="6"/>
      <c r="D9" s="6"/>
      <c r="E9" s="8"/>
      <c r="F9" s="6"/>
      <c r="G9" s="8"/>
      <c r="H9" s="6"/>
      <c r="I9" s="6"/>
      <c r="J9" s="6"/>
      <c r="K9" s="3"/>
      <c r="L9" s="1"/>
    </row>
    <row r="10" spans="1:12" ht="24" customHeight="1" x14ac:dyDescent="0.2">
      <c r="A10" s="2"/>
      <c r="B10" s="8"/>
      <c r="C10" s="6"/>
      <c r="D10" s="6"/>
      <c r="E10" s="8"/>
      <c r="F10" s="6"/>
      <c r="G10" s="8"/>
      <c r="H10" s="6"/>
      <c r="I10" s="6"/>
      <c r="J10" s="6"/>
      <c r="K10" s="3"/>
      <c r="L10" s="1"/>
    </row>
    <row r="11" spans="1:12" ht="24" customHeight="1" x14ac:dyDescent="0.2">
      <c r="A11" s="2"/>
      <c r="B11" s="8"/>
      <c r="C11" s="6"/>
      <c r="D11" s="6"/>
      <c r="E11" s="8"/>
      <c r="F11" s="6"/>
      <c r="G11" s="8"/>
      <c r="H11" s="6"/>
      <c r="I11" s="6"/>
      <c r="J11" s="6"/>
      <c r="K11" s="3"/>
      <c r="L11" s="1"/>
    </row>
    <row r="12" spans="1:12" ht="24" customHeight="1" x14ac:dyDescent="0.2">
      <c r="A12" s="2"/>
      <c r="B12" s="8"/>
      <c r="C12" s="6"/>
      <c r="D12" s="6"/>
      <c r="E12" s="8"/>
      <c r="F12" s="6"/>
      <c r="G12" s="8"/>
      <c r="H12" s="6"/>
      <c r="I12" s="6"/>
      <c r="J12" s="6"/>
      <c r="K12" s="3"/>
      <c r="L12" s="1"/>
    </row>
    <row r="13" spans="1:12" ht="24" customHeight="1" x14ac:dyDescent="0.2">
      <c r="A13" s="1"/>
      <c r="B13" s="5"/>
      <c r="C13" s="5"/>
      <c r="D13" s="5"/>
      <c r="E13" s="5"/>
      <c r="F13" s="5"/>
      <c r="G13" s="5"/>
      <c r="H13" s="5"/>
      <c r="I13" s="5"/>
      <c r="J13" s="5"/>
      <c r="K13" s="1"/>
      <c r="L13" s="1"/>
    </row>
    <row r="14" spans="1:12" ht="24" customHeight="1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t="24" customHeight="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t="24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t="24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24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4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ht="24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t="2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t="24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t="24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24" customHeight="1" x14ac:dyDescent="0.2"/>
    <row r="26" spans="1:12" ht="24" customHeight="1" x14ac:dyDescent="0.2"/>
  </sheetData>
  <conditionalFormatting sqref="B6:J12">
    <cfRule type="expression" dxfId="2" priority="1">
      <formula>$G6="Done"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C837-0071-4949-A1E8-BC974A2D0519}">
  <dimension ref="A1:M70"/>
  <sheetViews>
    <sheetView topLeftCell="A2" workbookViewId="0">
      <selection activeCell="D11" sqref="D11"/>
    </sheetView>
  </sheetViews>
  <sheetFormatPr baseColWidth="10" defaultRowHeight="16" x14ac:dyDescent="0.2"/>
  <cols>
    <col min="2" max="2" width="17.83203125" bestFit="1" customWidth="1"/>
    <col min="3" max="3" width="60.83203125" customWidth="1"/>
    <col min="4" max="4" width="81.33203125" customWidth="1"/>
    <col min="13" max="13" width="31.83203125" bestFit="1" customWidth="1"/>
  </cols>
  <sheetData>
    <row r="1" spans="1:13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 t="s">
        <v>13</v>
      </c>
      <c r="K1" s="1"/>
      <c r="L1" t="s">
        <v>65</v>
      </c>
    </row>
    <row r="2" spans="1:13" ht="24" customHeight="1" x14ac:dyDescent="0.2">
      <c r="A2" s="1"/>
      <c r="B2" s="1"/>
      <c r="C2" s="1"/>
      <c r="D2" s="1"/>
      <c r="E2" s="1"/>
      <c r="F2" s="1"/>
      <c r="G2" s="1"/>
      <c r="H2" s="1"/>
      <c r="I2" s="1"/>
      <c r="J2" s="1" t="s">
        <v>20</v>
      </c>
      <c r="K2" s="1"/>
      <c r="L2">
        <v>1</v>
      </c>
      <c r="M2" t="s">
        <v>76</v>
      </c>
    </row>
    <row r="3" spans="1:13" ht="24" customHeight="1" x14ac:dyDescent="0.2">
      <c r="A3" s="1"/>
      <c r="B3" s="1"/>
      <c r="C3" s="1"/>
      <c r="D3" s="1"/>
      <c r="E3" s="1"/>
      <c r="F3" s="1"/>
      <c r="G3" s="1"/>
      <c r="H3" s="1"/>
      <c r="I3" s="1"/>
      <c r="J3" s="1" t="s">
        <v>21</v>
      </c>
      <c r="K3" s="1"/>
      <c r="L3">
        <v>2</v>
      </c>
      <c r="M3" t="s">
        <v>77</v>
      </c>
    </row>
    <row r="4" spans="1:13" ht="24" customHeight="1" x14ac:dyDescent="0.2">
      <c r="A4" s="1"/>
      <c r="B4" s="1"/>
      <c r="C4" s="1"/>
      <c r="D4" s="1"/>
      <c r="E4" s="1"/>
      <c r="F4" s="1"/>
      <c r="G4" s="1"/>
      <c r="H4" s="1"/>
      <c r="I4" s="1"/>
      <c r="J4" s="1" t="s">
        <v>22</v>
      </c>
      <c r="K4" s="1"/>
      <c r="L4">
        <v>3</v>
      </c>
    </row>
    <row r="5" spans="1:13" ht="24" customHeight="1" x14ac:dyDescent="0.2">
      <c r="A5" s="1"/>
      <c r="B5" s="10">
        <f>COUNTA(B7:B56)</f>
        <v>7</v>
      </c>
      <c r="C5" s="4">
        <f>COUNTA(C7:D56)</f>
        <v>2</v>
      </c>
      <c r="D5" s="4"/>
      <c r="E5" s="4"/>
      <c r="F5" s="4"/>
      <c r="G5" s="4"/>
      <c r="H5" s="4"/>
      <c r="I5" s="4"/>
      <c r="J5" s="1" t="s">
        <v>23</v>
      </c>
      <c r="K5" s="1"/>
      <c r="L5">
        <v>4</v>
      </c>
    </row>
    <row r="6" spans="1:13" ht="24" customHeight="1" x14ac:dyDescent="0.2">
      <c r="A6" s="2"/>
      <c r="B6" s="7" t="s">
        <v>78</v>
      </c>
      <c r="C6" s="7" t="s">
        <v>79</v>
      </c>
      <c r="D6" s="7" t="s">
        <v>80</v>
      </c>
      <c r="E6" s="7" t="s">
        <v>65</v>
      </c>
      <c r="F6" s="7" t="s">
        <v>3</v>
      </c>
      <c r="G6" s="7"/>
      <c r="H6" s="7"/>
      <c r="I6" s="7"/>
      <c r="J6" s="3"/>
      <c r="K6" s="1"/>
      <c r="L6">
        <v>5</v>
      </c>
    </row>
    <row r="7" spans="1:13" ht="24" customHeight="1" x14ac:dyDescent="0.2">
      <c r="A7" s="2"/>
      <c r="B7" s="8"/>
      <c r="C7" s="9"/>
      <c r="D7" s="9"/>
      <c r="E7" s="8"/>
      <c r="F7" s="8"/>
      <c r="G7" s="6"/>
      <c r="H7" s="6"/>
      <c r="I7" s="6"/>
      <c r="J7" s="3"/>
      <c r="K7" s="1"/>
    </row>
    <row r="8" spans="1:13" ht="19" x14ac:dyDescent="0.2">
      <c r="A8" s="2"/>
      <c r="B8" s="8" t="s">
        <v>60</v>
      </c>
      <c r="C8" s="9" t="s">
        <v>76</v>
      </c>
      <c r="D8" s="9"/>
      <c r="E8" s="8"/>
      <c r="F8" s="8"/>
      <c r="G8" s="6"/>
      <c r="H8" s="6"/>
      <c r="I8" s="6"/>
      <c r="J8" s="3"/>
      <c r="K8" s="1"/>
    </row>
    <row r="9" spans="1:13" ht="24" customHeight="1" x14ac:dyDescent="0.2">
      <c r="A9" s="2"/>
      <c r="B9" s="8" t="s">
        <v>33</v>
      </c>
      <c r="C9" s="9" t="s">
        <v>77</v>
      </c>
      <c r="D9" s="9"/>
      <c r="E9" s="8"/>
      <c r="F9" s="8"/>
      <c r="G9" s="6"/>
      <c r="H9" s="6"/>
      <c r="I9" s="6"/>
      <c r="J9" s="3"/>
      <c r="K9" s="1"/>
    </row>
    <row r="10" spans="1:13" ht="24" customHeight="1" x14ac:dyDescent="0.2">
      <c r="A10" s="2"/>
      <c r="B10" s="8"/>
      <c r="C10" s="9"/>
      <c r="D10" s="9"/>
      <c r="E10" s="8"/>
      <c r="F10" s="8"/>
      <c r="G10" s="6"/>
      <c r="H10" s="6"/>
      <c r="I10" s="6"/>
      <c r="J10" s="3"/>
      <c r="K10" s="1"/>
    </row>
    <row r="11" spans="1:13" ht="24" customHeight="1" x14ac:dyDescent="0.2">
      <c r="A11" s="2"/>
      <c r="B11" s="8"/>
      <c r="C11" s="9"/>
      <c r="D11" s="9"/>
      <c r="E11" s="8"/>
      <c r="F11" s="8"/>
      <c r="G11" s="6"/>
      <c r="H11" s="6"/>
      <c r="I11" s="6"/>
      <c r="J11" s="3"/>
      <c r="K11" s="1"/>
    </row>
    <row r="12" spans="1:13" ht="18" x14ac:dyDescent="0.2">
      <c r="A12" s="2"/>
      <c r="B12" s="8"/>
      <c r="C12" s="9"/>
      <c r="D12" s="9"/>
      <c r="E12" s="8"/>
      <c r="F12" s="8"/>
      <c r="G12" s="6"/>
      <c r="H12" s="6"/>
      <c r="I12" s="6"/>
      <c r="J12" s="3"/>
      <c r="K12" s="1"/>
    </row>
    <row r="13" spans="1:13" ht="18" x14ac:dyDescent="0.2">
      <c r="A13" s="2"/>
      <c r="B13" s="8"/>
      <c r="C13" s="9"/>
      <c r="D13" s="9"/>
      <c r="E13" s="8"/>
      <c r="F13" s="8"/>
      <c r="G13" s="6"/>
      <c r="H13" s="6"/>
      <c r="I13" s="6"/>
      <c r="J13" s="3"/>
      <c r="K13" s="1"/>
    </row>
    <row r="14" spans="1:13" ht="18" x14ac:dyDescent="0.2">
      <c r="A14" s="2"/>
      <c r="B14" s="8"/>
      <c r="C14" s="9"/>
      <c r="D14" s="9"/>
      <c r="E14" s="8"/>
      <c r="F14" s="8"/>
      <c r="G14" s="6"/>
      <c r="H14" s="6"/>
      <c r="I14" s="6"/>
      <c r="J14" s="3"/>
      <c r="K14" s="1"/>
    </row>
    <row r="15" spans="1:13" ht="18" x14ac:dyDescent="0.2">
      <c r="A15" s="2"/>
      <c r="B15" s="8"/>
      <c r="C15" s="9"/>
      <c r="D15" s="9"/>
      <c r="E15" s="8"/>
      <c r="F15" s="8"/>
      <c r="G15" s="6"/>
      <c r="H15" s="6"/>
      <c r="I15" s="6"/>
      <c r="J15" s="3"/>
      <c r="K15" s="1"/>
    </row>
    <row r="16" spans="1:13" ht="24" customHeight="1" x14ac:dyDescent="0.2">
      <c r="A16" s="2"/>
      <c r="B16" s="8" t="s">
        <v>13</v>
      </c>
      <c r="C16" s="9"/>
      <c r="D16" s="9"/>
      <c r="E16" s="8"/>
      <c r="F16" s="8"/>
      <c r="G16" s="6"/>
      <c r="H16" s="6"/>
      <c r="I16" s="6"/>
      <c r="J16" s="3"/>
      <c r="K16" s="1"/>
    </row>
    <row r="17" spans="1:11" ht="18" x14ac:dyDescent="0.2">
      <c r="A17" s="2"/>
      <c r="B17" s="8" t="s">
        <v>20</v>
      </c>
      <c r="C17" s="9"/>
      <c r="D17" s="9"/>
      <c r="E17" s="8"/>
      <c r="F17" s="8"/>
      <c r="G17" s="6"/>
      <c r="H17" s="6"/>
      <c r="I17" s="6"/>
      <c r="J17" s="3"/>
      <c r="K17" s="1"/>
    </row>
    <row r="18" spans="1:11" ht="18" x14ac:dyDescent="0.2">
      <c r="A18" s="2"/>
      <c r="B18" s="8" t="s">
        <v>21</v>
      </c>
      <c r="C18" s="9"/>
      <c r="D18" s="9"/>
      <c r="E18" s="8"/>
      <c r="F18" s="8"/>
      <c r="G18" s="6"/>
      <c r="H18" s="6"/>
      <c r="I18" s="6"/>
      <c r="J18" s="3"/>
      <c r="K18" s="1"/>
    </row>
    <row r="19" spans="1:11" ht="18" x14ac:dyDescent="0.2">
      <c r="A19" s="2"/>
      <c r="B19" s="8" t="s">
        <v>22</v>
      </c>
      <c r="C19" s="9"/>
      <c r="D19" s="9"/>
      <c r="E19" s="8"/>
      <c r="F19" s="8"/>
      <c r="G19" s="6"/>
      <c r="H19" s="6"/>
      <c r="I19" s="6"/>
      <c r="J19" s="3"/>
      <c r="K19" s="1"/>
    </row>
    <row r="20" spans="1:11" ht="18" x14ac:dyDescent="0.2">
      <c r="A20" s="2"/>
      <c r="B20" s="8" t="s">
        <v>23</v>
      </c>
      <c r="C20" s="9"/>
      <c r="D20" s="9"/>
      <c r="E20" s="8"/>
      <c r="F20" s="8"/>
      <c r="G20" s="6"/>
      <c r="H20" s="6"/>
      <c r="I20" s="6"/>
      <c r="J20" s="3"/>
      <c r="K20" s="1"/>
    </row>
    <row r="21" spans="1:11" ht="24" customHeight="1" x14ac:dyDescent="0.2">
      <c r="A21" s="2"/>
      <c r="B21" s="8"/>
      <c r="C21" s="9"/>
      <c r="D21" s="9"/>
      <c r="E21" s="8"/>
      <c r="F21" s="8"/>
      <c r="G21" s="6"/>
      <c r="H21" s="6"/>
      <c r="I21" s="6"/>
      <c r="J21" s="3"/>
      <c r="K21" s="1"/>
    </row>
    <row r="22" spans="1:11" ht="18" x14ac:dyDescent="0.2">
      <c r="A22" s="2"/>
      <c r="B22" s="8"/>
      <c r="C22" s="6"/>
      <c r="D22" s="9"/>
      <c r="E22" s="8"/>
      <c r="F22" s="8"/>
      <c r="G22" s="6"/>
      <c r="H22" s="6"/>
      <c r="I22" s="6"/>
      <c r="J22" s="3"/>
      <c r="K22" s="1"/>
    </row>
    <row r="23" spans="1:11" ht="18" x14ac:dyDescent="0.2">
      <c r="A23" s="2"/>
      <c r="B23" s="8"/>
      <c r="C23" s="6"/>
      <c r="D23" s="9"/>
      <c r="E23" s="8"/>
      <c r="F23" s="8"/>
      <c r="G23" s="6"/>
      <c r="H23" s="6"/>
      <c r="I23" s="6"/>
      <c r="J23" s="3"/>
      <c r="K23" s="1"/>
    </row>
    <row r="24" spans="1:11" ht="18" x14ac:dyDescent="0.2">
      <c r="A24" s="2"/>
      <c r="B24" s="8"/>
      <c r="C24" s="6"/>
      <c r="D24" s="9"/>
      <c r="E24" s="8"/>
      <c r="F24" s="8"/>
      <c r="G24" s="6"/>
      <c r="H24" s="6"/>
      <c r="I24" s="6"/>
      <c r="J24" s="3"/>
      <c r="K24" s="1"/>
    </row>
    <row r="25" spans="1:11" ht="18" x14ac:dyDescent="0.2">
      <c r="A25" s="2"/>
      <c r="B25" s="8"/>
      <c r="C25" s="6"/>
      <c r="D25" s="9"/>
      <c r="E25" s="8"/>
      <c r="F25" s="8"/>
      <c r="G25" s="6"/>
      <c r="H25" s="6"/>
      <c r="I25" s="6"/>
      <c r="J25" s="3"/>
      <c r="K25" s="1"/>
    </row>
    <row r="26" spans="1:11" ht="18" x14ac:dyDescent="0.2">
      <c r="A26" s="2"/>
      <c r="B26" s="8"/>
      <c r="C26" s="6"/>
      <c r="D26" s="9"/>
      <c r="E26" s="8"/>
      <c r="F26" s="8"/>
      <c r="G26" s="6"/>
      <c r="H26" s="6"/>
      <c r="I26" s="6"/>
      <c r="J26" s="3"/>
      <c r="K26" s="1"/>
    </row>
    <row r="27" spans="1:11" ht="26" customHeight="1" x14ac:dyDescent="0.2">
      <c r="A27" s="2"/>
      <c r="B27" s="8"/>
      <c r="C27" s="6"/>
      <c r="D27" s="6"/>
      <c r="E27" s="8"/>
      <c r="F27" s="8"/>
      <c r="G27" s="6"/>
      <c r="H27" s="6"/>
      <c r="I27" s="6"/>
      <c r="J27" s="3"/>
      <c r="K27" s="1"/>
    </row>
    <row r="28" spans="1:11" ht="18" x14ac:dyDescent="0.2">
      <c r="A28" s="2"/>
      <c r="B28" s="8"/>
      <c r="C28" s="6"/>
      <c r="D28" s="9"/>
      <c r="E28" s="8"/>
      <c r="F28" s="8"/>
      <c r="G28" s="6"/>
      <c r="H28" s="6"/>
      <c r="I28" s="6"/>
      <c r="J28" s="3"/>
      <c r="K28" s="1"/>
    </row>
    <row r="29" spans="1:11" ht="24" customHeight="1" x14ac:dyDescent="0.2">
      <c r="A29" s="2"/>
      <c r="B29" s="8"/>
      <c r="C29" s="6"/>
      <c r="D29" s="9"/>
      <c r="E29" s="8"/>
      <c r="F29" s="8"/>
      <c r="G29" s="6"/>
      <c r="H29" s="6"/>
      <c r="I29" s="6"/>
      <c r="J29" s="3"/>
      <c r="K29" s="1"/>
    </row>
    <row r="30" spans="1:11" ht="24" customHeight="1" x14ac:dyDescent="0.2">
      <c r="A30" s="2"/>
      <c r="B30" s="8"/>
      <c r="C30" s="6"/>
      <c r="D30" s="9"/>
      <c r="E30" s="8"/>
      <c r="F30" s="8"/>
      <c r="G30" s="6"/>
      <c r="H30" s="6"/>
      <c r="I30" s="6"/>
      <c r="J30" s="3"/>
      <c r="K30" s="1"/>
    </row>
    <row r="31" spans="1:11" ht="18" x14ac:dyDescent="0.2">
      <c r="A31" s="2"/>
      <c r="B31" s="8"/>
      <c r="C31" s="6"/>
      <c r="D31" s="9"/>
      <c r="E31" s="8"/>
      <c r="F31" s="8"/>
      <c r="G31" s="6"/>
      <c r="H31" s="6"/>
      <c r="I31" s="6"/>
      <c r="J31" s="3"/>
      <c r="K31" s="1"/>
    </row>
    <row r="32" spans="1:11" ht="18" x14ac:dyDescent="0.2">
      <c r="A32" s="2"/>
      <c r="B32" s="8"/>
      <c r="C32" s="9"/>
      <c r="D32" s="9"/>
      <c r="E32" s="8"/>
      <c r="F32" s="8"/>
      <c r="G32" s="6"/>
      <c r="H32" s="6"/>
      <c r="I32" s="6"/>
      <c r="J32" s="3"/>
      <c r="K32" s="1"/>
    </row>
    <row r="33" spans="1:11" ht="18" x14ac:dyDescent="0.2">
      <c r="A33" s="2"/>
      <c r="B33" s="8"/>
      <c r="C33" s="9"/>
      <c r="D33" s="9"/>
      <c r="E33" s="8"/>
      <c r="F33" s="8"/>
      <c r="G33" s="6"/>
      <c r="H33" s="6"/>
      <c r="I33" s="6"/>
      <c r="J33" s="3"/>
      <c r="K33" s="1"/>
    </row>
    <row r="34" spans="1:11" ht="18" x14ac:dyDescent="0.2">
      <c r="A34" s="2"/>
      <c r="B34" s="8"/>
      <c r="C34" s="9"/>
      <c r="D34" s="9"/>
      <c r="E34" s="8"/>
      <c r="F34" s="8"/>
      <c r="G34" s="6"/>
      <c r="H34" s="6"/>
      <c r="I34" s="6"/>
      <c r="J34" s="3"/>
      <c r="K34" s="1"/>
    </row>
    <row r="35" spans="1:11" ht="18" x14ac:dyDescent="0.2">
      <c r="A35" s="2"/>
      <c r="B35" s="8"/>
      <c r="C35" s="9"/>
      <c r="D35" s="9"/>
      <c r="E35" s="8"/>
      <c r="F35" s="8"/>
      <c r="G35" s="6"/>
      <c r="H35" s="6"/>
      <c r="I35" s="6"/>
      <c r="J35" s="3"/>
      <c r="K35" s="1"/>
    </row>
    <row r="36" spans="1:11" ht="18" x14ac:dyDescent="0.2">
      <c r="A36" s="2"/>
      <c r="B36" s="8"/>
      <c r="C36" s="9"/>
      <c r="D36" s="9"/>
      <c r="E36" s="8"/>
      <c r="F36" s="8"/>
      <c r="G36" s="6"/>
      <c r="H36" s="6"/>
      <c r="I36" s="6"/>
      <c r="J36" s="3"/>
      <c r="K36" s="1"/>
    </row>
    <row r="37" spans="1:11" ht="18" x14ac:dyDescent="0.2">
      <c r="A37" s="2"/>
      <c r="B37" s="8"/>
      <c r="C37" s="9"/>
      <c r="D37" s="9"/>
      <c r="E37" s="8"/>
      <c r="F37" s="8"/>
      <c r="G37" s="6"/>
      <c r="H37" s="6"/>
      <c r="I37" s="6"/>
      <c r="J37" s="3"/>
      <c r="K37" s="1"/>
    </row>
    <row r="38" spans="1:11" ht="18" x14ac:dyDescent="0.2">
      <c r="A38" s="2"/>
      <c r="B38" s="8"/>
      <c r="C38" s="9"/>
      <c r="D38" s="9"/>
      <c r="E38" s="8"/>
      <c r="F38" s="8"/>
      <c r="G38" s="6"/>
      <c r="H38" s="6"/>
      <c r="I38" s="6"/>
      <c r="J38" s="3"/>
      <c r="K38" s="1"/>
    </row>
    <row r="39" spans="1:11" ht="18" x14ac:dyDescent="0.2">
      <c r="A39" s="2"/>
      <c r="B39" s="8"/>
      <c r="C39" s="9"/>
      <c r="D39" s="9"/>
      <c r="E39" s="8"/>
      <c r="F39" s="8"/>
      <c r="G39" s="6"/>
      <c r="H39" s="6"/>
      <c r="I39" s="6"/>
      <c r="J39" s="3"/>
      <c r="K39" s="1"/>
    </row>
    <row r="40" spans="1:11" ht="18" x14ac:dyDescent="0.2">
      <c r="A40" s="2"/>
      <c r="B40" s="8"/>
      <c r="C40" s="9"/>
      <c r="D40" s="9"/>
      <c r="E40" s="8"/>
      <c r="F40" s="8"/>
      <c r="G40" s="6"/>
      <c r="H40" s="6"/>
      <c r="I40" s="6"/>
      <c r="J40" s="3"/>
      <c r="K40" s="1"/>
    </row>
    <row r="41" spans="1:11" ht="18" x14ac:dyDescent="0.2">
      <c r="A41" s="2"/>
      <c r="B41" s="8"/>
      <c r="C41" s="9"/>
      <c r="D41" s="9"/>
      <c r="E41" s="8"/>
      <c r="F41" s="8"/>
      <c r="G41" s="6"/>
      <c r="H41" s="6"/>
      <c r="I41" s="6"/>
      <c r="J41" s="3"/>
      <c r="K41" s="1"/>
    </row>
    <row r="42" spans="1:11" ht="18" x14ac:dyDescent="0.2">
      <c r="A42" s="2"/>
      <c r="B42" s="8"/>
      <c r="C42" s="9"/>
      <c r="D42" s="9"/>
      <c r="E42" s="8"/>
      <c r="F42" s="8"/>
      <c r="G42" s="6"/>
      <c r="H42" s="6"/>
      <c r="I42" s="6"/>
      <c r="J42" s="3"/>
      <c r="K42" s="1"/>
    </row>
    <row r="43" spans="1:11" ht="18" x14ac:dyDescent="0.2">
      <c r="A43" s="2"/>
      <c r="B43" s="8"/>
      <c r="C43" s="9"/>
      <c r="D43" s="9"/>
      <c r="E43" s="8"/>
      <c r="F43" s="8"/>
      <c r="G43" s="6"/>
      <c r="H43" s="6"/>
      <c r="I43" s="6"/>
      <c r="J43" s="3"/>
      <c r="K43" s="1"/>
    </row>
    <row r="44" spans="1:11" ht="18" x14ac:dyDescent="0.2">
      <c r="A44" s="2"/>
      <c r="B44" s="8"/>
      <c r="C44" s="9"/>
      <c r="D44" s="9"/>
      <c r="E44" s="8"/>
      <c r="F44" s="8"/>
      <c r="G44" s="6"/>
      <c r="H44" s="6"/>
      <c r="I44" s="6"/>
      <c r="J44" s="3"/>
      <c r="K44" s="1"/>
    </row>
    <row r="45" spans="1:11" ht="18" x14ac:dyDescent="0.2">
      <c r="A45" s="2"/>
      <c r="B45" s="8"/>
      <c r="C45" s="9"/>
      <c r="D45" s="9"/>
      <c r="E45" s="8"/>
      <c r="F45" s="8"/>
      <c r="G45" s="6"/>
      <c r="H45" s="6"/>
      <c r="I45" s="6"/>
      <c r="J45" s="3"/>
      <c r="K45" s="1"/>
    </row>
    <row r="46" spans="1:11" ht="18" x14ac:dyDescent="0.2">
      <c r="A46" s="2"/>
      <c r="B46" s="8"/>
      <c r="C46" s="9"/>
      <c r="D46" s="9"/>
      <c r="E46" s="8"/>
      <c r="F46" s="8"/>
      <c r="G46" s="6"/>
      <c r="H46" s="6"/>
      <c r="I46" s="6"/>
      <c r="J46" s="3"/>
      <c r="K46" s="1"/>
    </row>
    <row r="47" spans="1:11" ht="18" x14ac:dyDescent="0.2">
      <c r="A47" s="2"/>
      <c r="B47" s="8"/>
      <c r="C47" s="9"/>
      <c r="D47" s="9"/>
      <c r="E47" s="8"/>
      <c r="F47" s="8"/>
      <c r="G47" s="6"/>
      <c r="H47" s="6"/>
      <c r="I47" s="6"/>
      <c r="J47" s="3"/>
      <c r="K47" s="1"/>
    </row>
    <row r="48" spans="1:11" ht="18" x14ac:dyDescent="0.2">
      <c r="A48" s="2"/>
      <c r="B48" s="8"/>
      <c r="C48" s="9"/>
      <c r="D48" s="9"/>
      <c r="E48" s="8"/>
      <c r="F48" s="8"/>
      <c r="G48" s="6"/>
      <c r="H48" s="6"/>
      <c r="I48" s="6"/>
      <c r="J48" s="3"/>
      <c r="K48" s="1"/>
    </row>
    <row r="49" spans="1:11" ht="24" customHeight="1" x14ac:dyDescent="0.2">
      <c r="A49" s="2"/>
      <c r="B49" s="8"/>
      <c r="C49" s="9"/>
      <c r="D49" s="9"/>
      <c r="E49" s="8"/>
      <c r="F49" s="8"/>
      <c r="G49" s="6"/>
      <c r="H49" s="6"/>
      <c r="I49" s="6"/>
      <c r="J49" s="3"/>
      <c r="K49" s="1"/>
    </row>
    <row r="50" spans="1:11" ht="18" x14ac:dyDescent="0.2">
      <c r="A50" s="2"/>
      <c r="B50" s="8"/>
      <c r="C50" s="9"/>
      <c r="D50" s="9"/>
      <c r="E50" s="8"/>
      <c r="F50" s="8"/>
      <c r="G50" s="6"/>
      <c r="H50" s="6"/>
      <c r="I50" s="6"/>
      <c r="J50" s="3"/>
      <c r="K50" s="1"/>
    </row>
    <row r="51" spans="1:11" ht="18" x14ac:dyDescent="0.2">
      <c r="A51" s="2"/>
      <c r="B51" s="8"/>
      <c r="C51" s="9"/>
      <c r="D51" s="9"/>
      <c r="E51" s="8"/>
      <c r="F51" s="8"/>
      <c r="G51" s="6"/>
      <c r="H51" s="6"/>
      <c r="I51" s="6"/>
      <c r="J51" s="3"/>
      <c r="K51" s="1"/>
    </row>
    <row r="52" spans="1:11" ht="18" x14ac:dyDescent="0.2">
      <c r="A52" s="2"/>
      <c r="B52" s="8"/>
      <c r="C52" s="9"/>
      <c r="D52" s="9"/>
      <c r="E52" s="8"/>
      <c r="F52" s="8"/>
      <c r="G52" s="6"/>
      <c r="H52" s="6"/>
      <c r="I52" s="6"/>
      <c r="J52" s="3"/>
      <c r="K52" s="1"/>
    </row>
    <row r="53" spans="1:11" ht="24" customHeight="1" x14ac:dyDescent="0.2">
      <c r="A53" s="2"/>
      <c r="B53" s="8"/>
      <c r="C53" s="9"/>
      <c r="D53" s="9"/>
      <c r="E53" s="8"/>
      <c r="F53" s="8"/>
      <c r="G53" s="6"/>
      <c r="H53" s="6"/>
      <c r="I53" s="6"/>
      <c r="J53" s="3"/>
      <c r="K53" s="1"/>
    </row>
    <row r="54" spans="1:11" ht="24" customHeight="1" x14ac:dyDescent="0.2">
      <c r="A54" s="2"/>
      <c r="B54" s="8"/>
      <c r="C54" s="9"/>
      <c r="D54" s="9"/>
      <c r="E54" s="8"/>
      <c r="F54" s="8"/>
      <c r="G54" s="6"/>
      <c r="H54" s="6"/>
      <c r="I54" s="6"/>
      <c r="J54" s="3"/>
      <c r="K54" s="1"/>
    </row>
    <row r="55" spans="1:11" ht="24" customHeight="1" x14ac:dyDescent="0.2">
      <c r="A55" s="2"/>
      <c r="B55" s="8"/>
      <c r="C55" s="9"/>
      <c r="D55" s="9"/>
      <c r="E55" s="8"/>
      <c r="F55" s="8"/>
      <c r="G55" s="6"/>
      <c r="H55" s="6"/>
      <c r="I55" s="6"/>
      <c r="J55" s="3"/>
      <c r="K55" s="1"/>
    </row>
    <row r="56" spans="1:11" ht="24" customHeight="1" x14ac:dyDescent="0.2">
      <c r="A56" s="2"/>
      <c r="B56" s="8"/>
      <c r="C56" s="9"/>
      <c r="D56" s="9"/>
      <c r="E56" s="8"/>
      <c r="F56" s="8"/>
      <c r="G56" s="6"/>
      <c r="H56" s="6"/>
      <c r="I56" s="6"/>
      <c r="J56" s="3"/>
      <c r="K56" s="1"/>
    </row>
    <row r="57" spans="1:11" ht="24" customHeight="1" x14ac:dyDescent="0.2">
      <c r="A57" s="1"/>
      <c r="B57" s="5"/>
      <c r="C57" s="5"/>
      <c r="D57" s="5"/>
      <c r="E57" s="5"/>
      <c r="F57" s="5"/>
      <c r="G57" s="5"/>
      <c r="H57" s="5"/>
      <c r="I57" s="5"/>
      <c r="J57" s="1"/>
      <c r="K57" s="1"/>
    </row>
    <row r="58" spans="1:11" ht="24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ht="24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ht="24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ht="24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ht="24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ht="24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ht="24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ht="24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ht="24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ht="24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ht="24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ht="24" customHeight="1" x14ac:dyDescent="0.2"/>
    <row r="70" spans="1:11" ht="24" customHeight="1" x14ac:dyDescent="0.2"/>
  </sheetData>
  <conditionalFormatting sqref="B7:I56">
    <cfRule type="expression" dxfId="1" priority="2">
      <formula>$F7="Done"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EF622-906B-6549-8729-A44951A33388}">
  <dimension ref="A1:R37"/>
  <sheetViews>
    <sheetView topLeftCell="L1" workbookViewId="0">
      <selection activeCell="P24" sqref="P24"/>
    </sheetView>
  </sheetViews>
  <sheetFormatPr baseColWidth="10" defaultRowHeight="16" x14ac:dyDescent="0.2"/>
  <cols>
    <col min="3" max="3" width="14" bestFit="1" customWidth="1"/>
    <col min="15" max="15" width="39.6640625" bestFit="1" customWidth="1"/>
    <col min="16" max="16" width="39.6640625" customWidth="1"/>
    <col min="17" max="17" width="4.33203125" customWidth="1"/>
  </cols>
  <sheetData>
    <row r="1" spans="1:18" ht="24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ht="24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O2">
        <f>COUNTA(O3:O21)</f>
        <v>17</v>
      </c>
      <c r="P2">
        <f>COUNTA(P3:P21)</f>
        <v>14</v>
      </c>
    </row>
    <row r="3" spans="1:18" ht="24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8" ht="24" customHeight="1" x14ac:dyDescent="0.2">
      <c r="A4" s="1"/>
      <c r="B4" s="4"/>
      <c r="C4" s="4"/>
      <c r="D4" s="4"/>
      <c r="E4" s="4"/>
      <c r="F4" s="4"/>
      <c r="G4" s="4"/>
      <c r="H4" s="4"/>
      <c r="I4" s="4"/>
      <c r="J4" s="1"/>
      <c r="K4" s="1"/>
      <c r="O4" s="11" t="s">
        <v>97</v>
      </c>
      <c r="P4" s="11" t="s">
        <v>97</v>
      </c>
      <c r="Q4" s="12">
        <v>1</v>
      </c>
      <c r="R4" s="12" t="s">
        <v>114</v>
      </c>
    </row>
    <row r="5" spans="1:18" ht="24" customHeight="1" x14ac:dyDescent="0.2">
      <c r="A5" s="2"/>
      <c r="B5" s="7" t="s">
        <v>0</v>
      </c>
      <c r="C5" s="7" t="s">
        <v>1</v>
      </c>
      <c r="D5" s="7" t="s">
        <v>2</v>
      </c>
      <c r="E5" s="7"/>
      <c r="F5" s="7" t="s">
        <v>3</v>
      </c>
      <c r="G5" s="7"/>
      <c r="H5" s="7"/>
      <c r="I5" s="7"/>
      <c r="J5" s="3"/>
      <c r="K5" s="1"/>
      <c r="O5" s="11" t="s">
        <v>98</v>
      </c>
      <c r="P5" s="11" t="s">
        <v>98</v>
      </c>
      <c r="Q5" s="12">
        <v>1</v>
      </c>
      <c r="R5" s="12" t="s">
        <v>114</v>
      </c>
    </row>
    <row r="6" spans="1:18" ht="24" customHeight="1" x14ac:dyDescent="0.2">
      <c r="A6" s="2"/>
      <c r="B6" s="8"/>
      <c r="C6" s="6"/>
      <c r="D6" s="8"/>
      <c r="E6" s="6"/>
      <c r="F6" s="8"/>
      <c r="G6" s="6"/>
      <c r="H6" s="6"/>
      <c r="I6" s="6"/>
      <c r="J6" s="3"/>
      <c r="K6" s="1"/>
      <c r="O6" s="11" t="s">
        <v>99</v>
      </c>
      <c r="P6" s="11" t="s">
        <v>99</v>
      </c>
      <c r="Q6" s="12">
        <v>1</v>
      </c>
      <c r="R6" s="12" t="s">
        <v>115</v>
      </c>
    </row>
    <row r="7" spans="1:18" ht="24" customHeight="1" x14ac:dyDescent="0.2">
      <c r="A7" s="2"/>
      <c r="B7" s="8"/>
      <c r="C7" s="6"/>
      <c r="D7" s="8"/>
      <c r="E7" s="6"/>
      <c r="F7" s="8" t="s">
        <v>4</v>
      </c>
      <c r="G7" s="6"/>
      <c r="H7" s="6"/>
      <c r="I7" s="6"/>
      <c r="J7" s="3"/>
      <c r="K7" s="1"/>
      <c r="O7" s="11" t="s">
        <v>100</v>
      </c>
      <c r="P7" s="11"/>
      <c r="Q7" s="12">
        <v>4</v>
      </c>
      <c r="R7" s="12" t="s">
        <v>115</v>
      </c>
    </row>
    <row r="8" spans="1:18" ht="24" customHeight="1" x14ac:dyDescent="0.2">
      <c r="A8" s="2"/>
      <c r="B8" s="8"/>
      <c r="C8" s="6"/>
      <c r="D8" s="8"/>
      <c r="E8" s="6"/>
      <c r="F8" s="8"/>
      <c r="G8" s="6"/>
      <c r="H8" s="6"/>
      <c r="I8" s="6"/>
      <c r="J8" s="3"/>
      <c r="K8" s="1"/>
      <c r="O8" s="11" t="s">
        <v>101</v>
      </c>
      <c r="P8" s="11" t="s">
        <v>101</v>
      </c>
      <c r="Q8" s="12">
        <v>1</v>
      </c>
      <c r="R8" s="12" t="s">
        <v>114</v>
      </c>
    </row>
    <row r="9" spans="1:18" ht="24" customHeight="1" x14ac:dyDescent="0.2">
      <c r="A9" s="2"/>
      <c r="B9" s="8"/>
      <c r="C9" s="6"/>
      <c r="D9" s="8"/>
      <c r="E9" s="6"/>
      <c r="F9" s="8"/>
      <c r="G9" s="6"/>
      <c r="H9" s="6"/>
      <c r="I9" s="6"/>
      <c r="J9" s="3"/>
      <c r="K9" s="1"/>
      <c r="O9" s="11" t="s">
        <v>102</v>
      </c>
      <c r="P9" s="11" t="s">
        <v>117</v>
      </c>
      <c r="Q9" s="12"/>
      <c r="R9" s="12" t="s">
        <v>115</v>
      </c>
    </row>
    <row r="10" spans="1:18" ht="24" customHeight="1" x14ac:dyDescent="0.2">
      <c r="A10" s="2"/>
      <c r="B10" s="8"/>
      <c r="C10" s="6"/>
      <c r="D10" s="8"/>
      <c r="E10" s="6"/>
      <c r="F10" s="8"/>
      <c r="G10" s="6"/>
      <c r="H10" s="6"/>
      <c r="I10" s="6"/>
      <c r="J10" s="3"/>
      <c r="K10" s="1"/>
      <c r="O10" s="11" t="s">
        <v>103</v>
      </c>
      <c r="P10" s="11" t="s">
        <v>103</v>
      </c>
      <c r="Q10" s="12">
        <v>1</v>
      </c>
      <c r="R10" s="12"/>
    </row>
    <row r="11" spans="1:18" ht="24" customHeight="1" x14ac:dyDescent="0.2">
      <c r="A11" s="2"/>
      <c r="B11" s="8"/>
      <c r="C11" s="6"/>
      <c r="D11" s="8"/>
      <c r="E11" s="6"/>
      <c r="F11" s="8"/>
      <c r="G11" s="6"/>
      <c r="H11" s="6"/>
      <c r="I11" s="6"/>
      <c r="J11" s="3"/>
      <c r="K11" s="1"/>
      <c r="O11" s="11" t="s">
        <v>104</v>
      </c>
      <c r="P11" s="11" t="s">
        <v>104</v>
      </c>
      <c r="Q11" s="12">
        <v>1</v>
      </c>
      <c r="R11" s="12" t="s">
        <v>115</v>
      </c>
    </row>
    <row r="12" spans="1:18" ht="24" customHeight="1" x14ac:dyDescent="0.2">
      <c r="A12" s="2"/>
      <c r="B12" s="8"/>
      <c r="C12" s="6"/>
      <c r="D12" s="8"/>
      <c r="E12" s="6"/>
      <c r="F12" s="8"/>
      <c r="G12" s="6"/>
      <c r="H12" s="6"/>
      <c r="I12" s="6"/>
      <c r="J12" s="3"/>
      <c r="K12" s="1"/>
      <c r="O12" s="11" t="s">
        <v>105</v>
      </c>
      <c r="P12" s="11" t="s">
        <v>116</v>
      </c>
      <c r="Q12" s="12">
        <v>2</v>
      </c>
      <c r="R12" s="12"/>
    </row>
    <row r="13" spans="1:18" ht="24" customHeight="1" x14ac:dyDescent="0.2">
      <c r="A13" s="1"/>
      <c r="B13" s="5"/>
      <c r="C13" s="5"/>
      <c r="D13" s="5"/>
      <c r="E13" s="5"/>
      <c r="F13" s="5"/>
      <c r="G13" s="5"/>
      <c r="H13" s="5"/>
      <c r="I13" s="5"/>
      <c r="J13" s="1"/>
      <c r="K13" s="1"/>
      <c r="O13" s="11" t="s">
        <v>106</v>
      </c>
      <c r="P13" s="11" t="s">
        <v>106</v>
      </c>
      <c r="Q13" s="12">
        <v>1</v>
      </c>
      <c r="R13" s="12"/>
    </row>
    <row r="14" spans="1:18" ht="24" customHeight="1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O14" s="11" t="s">
        <v>107</v>
      </c>
      <c r="P14" s="11"/>
      <c r="Q14" s="12">
        <v>2</v>
      </c>
      <c r="R14" s="12"/>
    </row>
    <row r="15" spans="1:18" ht="24" customHeight="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O15" s="11" t="s">
        <v>108</v>
      </c>
      <c r="P15" s="11"/>
      <c r="Q15" s="12">
        <v>2</v>
      </c>
      <c r="R15" s="12"/>
    </row>
    <row r="16" spans="1:18" ht="24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O16" s="11" t="s">
        <v>109</v>
      </c>
      <c r="P16" s="11" t="s">
        <v>109</v>
      </c>
      <c r="Q16" s="12">
        <v>1</v>
      </c>
      <c r="R16" s="12" t="s">
        <v>114</v>
      </c>
    </row>
    <row r="17" spans="1:18" ht="24" customHeigh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O17" s="11" t="s">
        <v>110</v>
      </c>
      <c r="P17" s="11" t="s">
        <v>110</v>
      </c>
      <c r="Q17" s="12"/>
      <c r="R17" s="12"/>
    </row>
    <row r="18" spans="1:18" ht="24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O18" s="11" t="s">
        <v>111</v>
      </c>
      <c r="P18" s="11" t="s">
        <v>111</v>
      </c>
      <c r="Q18" s="12"/>
      <c r="R18" s="12" t="s">
        <v>114</v>
      </c>
    </row>
    <row r="19" spans="1:18" ht="24" customHeigh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O19" s="11" t="s">
        <v>112</v>
      </c>
      <c r="P19" s="11" t="s">
        <v>112</v>
      </c>
      <c r="Q19" s="12"/>
      <c r="R19" s="12" t="s">
        <v>114</v>
      </c>
    </row>
    <row r="20" spans="1:18" ht="24" customHeigh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O20" s="11" t="s">
        <v>113</v>
      </c>
      <c r="P20" s="11" t="s">
        <v>113</v>
      </c>
    </row>
    <row r="21" spans="1:18" ht="24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8" ht="24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8" ht="24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N23">
        <v>33.33</v>
      </c>
      <c r="O23">
        <v>25</v>
      </c>
      <c r="P23">
        <v>16.670000000000002</v>
      </c>
    </row>
    <row r="24" spans="1:18" ht="24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N24">
        <v>24</v>
      </c>
      <c r="O24">
        <v>24</v>
      </c>
      <c r="P24">
        <v>24</v>
      </c>
    </row>
    <row r="25" spans="1:18" ht="24" customHeight="1" x14ac:dyDescent="0.2">
      <c r="N25">
        <f>N24*N23</f>
        <v>799.92</v>
      </c>
      <c r="O25">
        <f>O24*O23</f>
        <v>600</v>
      </c>
      <c r="P25">
        <f>P24*P23</f>
        <v>400.08000000000004</v>
      </c>
    </row>
    <row r="26" spans="1:18" ht="24" customHeight="1" x14ac:dyDescent="0.2"/>
    <row r="30" spans="1:18" x14ac:dyDescent="0.2">
      <c r="A30">
        <v>45</v>
      </c>
      <c r="B30">
        <v>15</v>
      </c>
      <c r="D30">
        <v>33</v>
      </c>
    </row>
    <row r="31" spans="1:18" x14ac:dyDescent="0.2">
      <c r="A31">
        <v>90</v>
      </c>
      <c r="B31">
        <v>15</v>
      </c>
      <c r="D31">
        <v>60</v>
      </c>
    </row>
    <row r="32" spans="1:18" x14ac:dyDescent="0.2">
      <c r="A32">
        <v>30</v>
      </c>
      <c r="B32">
        <v>9</v>
      </c>
      <c r="D32">
        <v>30</v>
      </c>
    </row>
    <row r="33" spans="1:2" x14ac:dyDescent="0.2">
      <c r="A33">
        <v>10</v>
      </c>
      <c r="B33">
        <v>9</v>
      </c>
    </row>
    <row r="34" spans="1:2" x14ac:dyDescent="0.2">
      <c r="A34">
        <f>SUM(A30:A33)</f>
        <v>175</v>
      </c>
      <c r="B34">
        <v>6</v>
      </c>
    </row>
    <row r="35" spans="1:2" x14ac:dyDescent="0.2">
      <c r="B35">
        <v>6</v>
      </c>
    </row>
    <row r="37" spans="1:2" x14ac:dyDescent="0.2">
      <c r="B37">
        <f>SUM(B30:B36)</f>
        <v>60</v>
      </c>
    </row>
  </sheetData>
  <conditionalFormatting sqref="B6:I12">
    <cfRule type="expression" dxfId="0" priority="1">
      <formula>$F6="Done"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93CEA-862A-0946-8520-D9E2EF7551E8}">
  <dimension ref="F16:I23"/>
  <sheetViews>
    <sheetView tabSelected="1" workbookViewId="0">
      <selection activeCell="H23" sqref="H23"/>
    </sheetView>
  </sheetViews>
  <sheetFormatPr baseColWidth="10" defaultRowHeight="16" x14ac:dyDescent="0.2"/>
  <sheetData>
    <row r="16" spans="6:9" x14ac:dyDescent="0.2">
      <c r="F16">
        <v>26</v>
      </c>
      <c r="G16">
        <v>25</v>
      </c>
      <c r="H16">
        <v>26</v>
      </c>
      <c r="I16">
        <v>3</v>
      </c>
    </row>
    <row r="17" spans="6:9" x14ac:dyDescent="0.2">
      <c r="F17">
        <v>8</v>
      </c>
      <c r="G17">
        <v>5</v>
      </c>
      <c r="H17">
        <v>5</v>
      </c>
      <c r="I17">
        <v>5</v>
      </c>
    </row>
    <row r="18" spans="6:9" x14ac:dyDescent="0.2">
      <c r="F18">
        <f>F16*8</f>
        <v>208</v>
      </c>
      <c r="G18">
        <f>G16*G17</f>
        <v>125</v>
      </c>
      <c r="H18">
        <f>H16*H17</f>
        <v>130</v>
      </c>
      <c r="I18">
        <f>I16+I17</f>
        <v>8</v>
      </c>
    </row>
    <row r="19" spans="6:9" x14ac:dyDescent="0.2">
      <c r="F19">
        <v>20</v>
      </c>
      <c r="G19">
        <v>20</v>
      </c>
      <c r="H19">
        <v>20</v>
      </c>
    </row>
    <row r="20" spans="6:9" x14ac:dyDescent="0.2">
      <c r="F20">
        <f>F18*F19</f>
        <v>4160</v>
      </c>
      <c r="G20">
        <f>G18*G19</f>
        <v>2500</v>
      </c>
      <c r="H20">
        <f>H18*H19</f>
        <v>2600</v>
      </c>
    </row>
    <row r="22" spans="6:9" x14ac:dyDescent="0.2">
      <c r="F22">
        <v>0.7</v>
      </c>
      <c r="G22">
        <v>0.7</v>
      </c>
      <c r="H22">
        <v>0.7</v>
      </c>
    </row>
    <row r="23" spans="6:9" x14ac:dyDescent="0.2">
      <c r="F23">
        <f>F20*F22</f>
        <v>2912</v>
      </c>
      <c r="G23">
        <f>G20*G22</f>
        <v>1750</v>
      </c>
      <c r="H23">
        <f>H20*H22</f>
        <v>1819.9999999999998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RD</vt:lpstr>
      <vt:lpstr>Goal</vt:lpstr>
      <vt:lpstr>Priority</vt:lpstr>
      <vt:lpstr>Blank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mbiswal</dc:creator>
  <cp:lastModifiedBy>mbiswal</cp:lastModifiedBy>
  <dcterms:created xsi:type="dcterms:W3CDTF">2025-11-02T17:50:59Z</dcterms:created>
  <dcterms:modified xsi:type="dcterms:W3CDTF">2025-12-06T10:09:47Z</dcterms:modified>
</cp:coreProperties>
</file>